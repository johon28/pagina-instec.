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G:\Mi unidad\DOCENCIA 2026 (1)\"/>
    </mc:Choice>
  </mc:AlternateContent>
  <bookViews>
    <workbookView xWindow="-120" yWindow="-120" windowWidth="20730" windowHeight="11160" activeTab="5"/>
  </bookViews>
  <sheets>
    <sheet name="INICIO" sheetId="7" r:id="rId1"/>
    <sheet name="PERIODO 01" sheetId="8" r:id="rId2"/>
    <sheet name="PERIODO 02" sheetId="9" r:id="rId3"/>
    <sheet name="PERIODO 03" sheetId="10" r:id="rId4"/>
    <sheet name="FINAL" sheetId="5" r:id="rId5"/>
    <sheet name="ESTADISTICA" sheetId="6" r:id="rId6"/>
    <sheet name="INFORMES" sheetId="12" r:id="rId7"/>
  </sheets>
  <definedNames>
    <definedName name="SegmentaciónDeDatos_DESEMPEÑO">#N/A</definedName>
    <definedName name="SegmentaciónDeDatos_PERIODO">#N/A</definedName>
  </definedName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  <x14:slicerCache r:id="rId9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loq43jtsEfHX2uMR3NDorTSlJ+v34EiOphZ2cxmeY/E="/>
    </ext>
  </extLst>
</workbook>
</file>

<file path=xl/calcChain.xml><?xml version="1.0" encoding="utf-8"?>
<calcChain xmlns="http://schemas.openxmlformats.org/spreadsheetml/2006/main">
  <c r="M10" i="8" l="1"/>
  <c r="N10" i="8"/>
  <c r="O10" i="8"/>
  <c r="P10" i="8"/>
  <c r="R10" i="8" s="1"/>
  <c r="Q10" i="8"/>
  <c r="H20" i="7"/>
  <c r="E34" i="7"/>
  <c r="E27" i="7"/>
  <c r="E20" i="7"/>
  <c r="D24" i="7"/>
  <c r="D23" i="7"/>
  <c r="D22" i="7"/>
  <c r="D21" i="7"/>
  <c r="D20" i="7"/>
  <c r="F42" i="12"/>
  <c r="F43" i="12"/>
  <c r="F44" i="12"/>
  <c r="F45" i="12"/>
  <c r="F46" i="12"/>
  <c r="F47" i="12"/>
  <c r="F48" i="12"/>
  <c r="F49" i="12"/>
  <c r="F124" i="12"/>
  <c r="F125" i="12"/>
  <c r="F126" i="12"/>
  <c r="F127" i="12"/>
  <c r="F128" i="12"/>
  <c r="F129" i="12"/>
  <c r="D124" i="12"/>
  <c r="D125" i="12"/>
  <c r="D126" i="12"/>
  <c r="D127" i="12"/>
  <c r="D128" i="12"/>
  <c r="D129" i="12"/>
  <c r="B10" i="12"/>
  <c r="B11" i="12"/>
  <c r="B131" i="12" s="1"/>
  <c r="B12" i="12"/>
  <c r="B13" i="12"/>
  <c r="B133" i="12" s="1"/>
  <c r="B14" i="12"/>
  <c r="B15" i="12"/>
  <c r="B55" i="12" s="1"/>
  <c r="B16" i="12"/>
  <c r="B17" i="12"/>
  <c r="B97" i="12" s="1"/>
  <c r="B18" i="12"/>
  <c r="B19" i="12"/>
  <c r="B139" i="12" s="1"/>
  <c r="B20" i="12"/>
  <c r="B60" i="12" s="1"/>
  <c r="B21" i="12"/>
  <c r="B141" i="12" s="1"/>
  <c r="B22" i="12"/>
  <c r="B62" i="12" s="1"/>
  <c r="B23" i="12"/>
  <c r="B63" i="12" s="1"/>
  <c r="B24" i="12"/>
  <c r="B64" i="12" s="1"/>
  <c r="B25" i="12"/>
  <c r="B105" i="12" s="1"/>
  <c r="B26" i="12"/>
  <c r="B66" i="12" s="1"/>
  <c r="B27" i="12"/>
  <c r="B147" i="12" s="1"/>
  <c r="B28" i="12"/>
  <c r="B29" i="12"/>
  <c r="B149" i="12" s="1"/>
  <c r="B30" i="12"/>
  <c r="B70" i="12" s="1"/>
  <c r="B31" i="12"/>
  <c r="B71" i="12" s="1"/>
  <c r="B32" i="12"/>
  <c r="B72" i="12" s="1"/>
  <c r="B33" i="12"/>
  <c r="B153" i="12" s="1"/>
  <c r="B34" i="12"/>
  <c r="B74" i="12" s="1"/>
  <c r="B35" i="12"/>
  <c r="B155" i="12" s="1"/>
  <c r="B36" i="12"/>
  <c r="B76" i="12" s="1"/>
  <c r="B37" i="12"/>
  <c r="B157" i="12" s="1"/>
  <c r="B38" i="12"/>
  <c r="B78" i="12" s="1"/>
  <c r="B39" i="12"/>
  <c r="B79" i="12" s="1"/>
  <c r="B40" i="12"/>
  <c r="B80" i="12" s="1"/>
  <c r="B41" i="12"/>
  <c r="B161" i="12" s="1"/>
  <c r="B42" i="12"/>
  <c r="B82" i="12" s="1"/>
  <c r="C42" i="12"/>
  <c r="C162" i="12" s="1"/>
  <c r="D42" i="12"/>
  <c r="B43" i="12"/>
  <c r="B163" i="12" s="1"/>
  <c r="C43" i="12"/>
  <c r="C163" i="12" s="1"/>
  <c r="D43" i="12"/>
  <c r="B44" i="12"/>
  <c r="C44" i="12"/>
  <c r="C84" i="12" s="1"/>
  <c r="D44" i="12"/>
  <c r="B45" i="12"/>
  <c r="B165" i="12" s="1"/>
  <c r="C45" i="12"/>
  <c r="D45" i="12"/>
  <c r="B46" i="12"/>
  <c r="B86" i="12" s="1"/>
  <c r="C46" i="12"/>
  <c r="C86" i="12" s="1"/>
  <c r="D46" i="12"/>
  <c r="B47" i="12"/>
  <c r="B87" i="12" s="1"/>
  <c r="C47" i="12"/>
  <c r="C167" i="12" s="1"/>
  <c r="D47" i="12"/>
  <c r="B48" i="12"/>
  <c r="B88" i="12" s="1"/>
  <c r="C48" i="12"/>
  <c r="C88" i="12" s="1"/>
  <c r="D48" i="12"/>
  <c r="B49" i="12"/>
  <c r="B169" i="12" s="1"/>
  <c r="C49" i="12"/>
  <c r="C89" i="12" s="1"/>
  <c r="D49" i="12"/>
  <c r="E43" i="5"/>
  <c r="E44" i="5"/>
  <c r="K44" i="5" s="1"/>
  <c r="E45" i="5"/>
  <c r="K45" i="5" s="1"/>
  <c r="E46" i="5"/>
  <c r="E47" i="5"/>
  <c r="E48" i="5"/>
  <c r="K48" i="5" s="1"/>
  <c r="C41" i="5"/>
  <c r="C42" i="5"/>
  <c r="C43" i="5"/>
  <c r="C44" i="5"/>
  <c r="C45" i="5"/>
  <c r="C46" i="5"/>
  <c r="C47" i="5"/>
  <c r="C48" i="5"/>
  <c r="B48" i="5"/>
  <c r="B47" i="5"/>
  <c r="B46" i="5"/>
  <c r="B45" i="5"/>
  <c r="B44" i="5"/>
  <c r="B43" i="5"/>
  <c r="B42" i="5"/>
  <c r="B41" i="5"/>
  <c r="B40" i="5"/>
  <c r="C41" i="12" s="1"/>
  <c r="C81" i="12" s="1"/>
  <c r="B39" i="5"/>
  <c r="C40" i="12" s="1"/>
  <c r="C80" i="12" s="1"/>
  <c r="B38" i="5"/>
  <c r="C39" i="12" s="1"/>
  <c r="C159" i="12" s="1"/>
  <c r="B36" i="5"/>
  <c r="C37" i="12" s="1"/>
  <c r="B35" i="5"/>
  <c r="C36" i="12" s="1"/>
  <c r="C76" i="12" s="1"/>
  <c r="B34" i="5"/>
  <c r="C35" i="12" s="1"/>
  <c r="C115" i="12" s="1"/>
  <c r="B32" i="5"/>
  <c r="C33" i="12" s="1"/>
  <c r="AD49" i="10"/>
  <c r="X49" i="10"/>
  <c r="Q49" i="10"/>
  <c r="P49" i="10"/>
  <c r="O49" i="10"/>
  <c r="N49" i="10"/>
  <c r="M49" i="10"/>
  <c r="R49" i="10" s="1"/>
  <c r="AE49" i="10" s="1"/>
  <c r="AG49" i="10" s="1"/>
  <c r="B49" i="10"/>
  <c r="AD48" i="10"/>
  <c r="X48" i="10"/>
  <c r="Q48" i="10"/>
  <c r="P48" i="10"/>
  <c r="O48" i="10"/>
  <c r="N48" i="10"/>
  <c r="R48" i="10" s="1"/>
  <c r="AE48" i="10" s="1"/>
  <c r="AG48" i="10" s="1"/>
  <c r="M48" i="10"/>
  <c r="B48" i="10"/>
  <c r="AD47" i="10"/>
  <c r="X47" i="10"/>
  <c r="Q47" i="10"/>
  <c r="P47" i="10"/>
  <c r="O47" i="10"/>
  <c r="N47" i="10"/>
  <c r="M47" i="10"/>
  <c r="R47" i="10" s="1"/>
  <c r="AE47" i="10" s="1"/>
  <c r="AG47" i="10" s="1"/>
  <c r="B47" i="10"/>
  <c r="AD46" i="10"/>
  <c r="X46" i="10"/>
  <c r="Q46" i="10"/>
  <c r="P46" i="10"/>
  <c r="O46" i="10"/>
  <c r="N46" i="10"/>
  <c r="M46" i="10"/>
  <c r="R46" i="10" s="1"/>
  <c r="AE46" i="10" s="1"/>
  <c r="AG46" i="10" s="1"/>
  <c r="B46" i="10"/>
  <c r="AD45" i="10"/>
  <c r="X45" i="10"/>
  <c r="Q45" i="10"/>
  <c r="P45" i="10"/>
  <c r="O45" i="10"/>
  <c r="N45" i="10"/>
  <c r="M45" i="10"/>
  <c r="R45" i="10" s="1"/>
  <c r="AE45" i="10" s="1"/>
  <c r="AG45" i="10" s="1"/>
  <c r="B45" i="10"/>
  <c r="AD44" i="10"/>
  <c r="X44" i="10"/>
  <c r="Q44" i="10"/>
  <c r="P44" i="10"/>
  <c r="O44" i="10"/>
  <c r="N44" i="10"/>
  <c r="R44" i="10" s="1"/>
  <c r="AE44" i="10" s="1"/>
  <c r="AG44" i="10" s="1"/>
  <c r="M44" i="10"/>
  <c r="B44" i="10"/>
  <c r="AD43" i="10"/>
  <c r="X43" i="10"/>
  <c r="Q43" i="10"/>
  <c r="P43" i="10"/>
  <c r="O43" i="10"/>
  <c r="N43" i="10"/>
  <c r="M43" i="10"/>
  <c r="B43" i="10"/>
  <c r="AD42" i="10"/>
  <c r="X42" i="10"/>
  <c r="Q42" i="10"/>
  <c r="P42" i="10"/>
  <c r="O42" i="10"/>
  <c r="N42" i="10"/>
  <c r="M42" i="10"/>
  <c r="B42" i="10"/>
  <c r="AD41" i="10"/>
  <c r="X41" i="10"/>
  <c r="Q41" i="10"/>
  <c r="P41" i="10"/>
  <c r="O41" i="10"/>
  <c r="N41" i="10"/>
  <c r="M41" i="10"/>
  <c r="B41" i="10"/>
  <c r="AD40" i="10"/>
  <c r="X40" i="10"/>
  <c r="Q40" i="10"/>
  <c r="P40" i="10"/>
  <c r="O40" i="10"/>
  <c r="N40" i="10"/>
  <c r="R40" i="10" s="1"/>
  <c r="M40" i="10"/>
  <c r="B40" i="10"/>
  <c r="AD39" i="10"/>
  <c r="X39" i="10"/>
  <c r="Q39" i="10"/>
  <c r="P39" i="10"/>
  <c r="O39" i="10"/>
  <c r="N39" i="10"/>
  <c r="M39" i="10"/>
  <c r="B39" i="10"/>
  <c r="AD38" i="10"/>
  <c r="X38" i="10"/>
  <c r="Q38" i="10"/>
  <c r="P38" i="10"/>
  <c r="O38" i="10"/>
  <c r="N38" i="10"/>
  <c r="M38" i="10"/>
  <c r="B38" i="10"/>
  <c r="B37" i="5" s="1"/>
  <c r="C38" i="12" s="1"/>
  <c r="C78" i="12" s="1"/>
  <c r="AD37" i="10"/>
  <c r="X37" i="10"/>
  <c r="Q37" i="10"/>
  <c r="P37" i="10"/>
  <c r="O37" i="10"/>
  <c r="N37" i="10"/>
  <c r="M37" i="10"/>
  <c r="B37" i="10"/>
  <c r="AD36" i="10"/>
  <c r="X36" i="10"/>
  <c r="Q36" i="10"/>
  <c r="P36" i="10"/>
  <c r="O36" i="10"/>
  <c r="N36" i="10"/>
  <c r="R36" i="10" s="1"/>
  <c r="M36" i="10"/>
  <c r="B36" i="10"/>
  <c r="AD35" i="10"/>
  <c r="X35" i="10"/>
  <c r="Q35" i="10"/>
  <c r="P35" i="10"/>
  <c r="O35" i="10"/>
  <c r="N35" i="10"/>
  <c r="M35" i="10"/>
  <c r="B35" i="10"/>
  <c r="AD34" i="10"/>
  <c r="X34" i="10"/>
  <c r="Q34" i="10"/>
  <c r="P34" i="10"/>
  <c r="O34" i="10"/>
  <c r="N34" i="10"/>
  <c r="M34" i="10"/>
  <c r="B34" i="10"/>
  <c r="B33" i="5" s="1"/>
  <c r="C34" i="12" s="1"/>
  <c r="C154" i="12" s="1"/>
  <c r="AD33" i="10"/>
  <c r="X33" i="10"/>
  <c r="Q33" i="10"/>
  <c r="P33" i="10"/>
  <c r="O33" i="10"/>
  <c r="N33" i="10"/>
  <c r="M33" i="10"/>
  <c r="B33" i="10"/>
  <c r="AD32" i="10"/>
  <c r="X32" i="10"/>
  <c r="Q32" i="10"/>
  <c r="P32" i="10"/>
  <c r="O32" i="10"/>
  <c r="N32" i="10"/>
  <c r="R32" i="10" s="1"/>
  <c r="M32" i="10"/>
  <c r="B32" i="10"/>
  <c r="B31" i="5" s="1"/>
  <c r="C32" i="12" s="1"/>
  <c r="C72" i="12" s="1"/>
  <c r="AD31" i="10"/>
  <c r="X31" i="10"/>
  <c r="Q31" i="10"/>
  <c r="P31" i="10"/>
  <c r="O31" i="10"/>
  <c r="N31" i="10"/>
  <c r="M31" i="10"/>
  <c r="B31" i="10"/>
  <c r="B30" i="5" s="1"/>
  <c r="C31" i="12" s="1"/>
  <c r="C151" i="12" s="1"/>
  <c r="AD30" i="10"/>
  <c r="X30" i="10"/>
  <c r="Q30" i="10"/>
  <c r="P30" i="10"/>
  <c r="O30" i="10"/>
  <c r="N30" i="10"/>
  <c r="M30" i="10"/>
  <c r="B30" i="10"/>
  <c r="B29" i="5" s="1"/>
  <c r="C30" i="12" s="1"/>
  <c r="C70" i="12" s="1"/>
  <c r="AD29" i="10"/>
  <c r="X29" i="10"/>
  <c r="Q29" i="10"/>
  <c r="P29" i="10"/>
  <c r="O29" i="10"/>
  <c r="N29" i="10"/>
  <c r="R29" i="10" s="1"/>
  <c r="M29" i="10"/>
  <c r="B29" i="10"/>
  <c r="B28" i="5" s="1"/>
  <c r="C29" i="12" s="1"/>
  <c r="AD28" i="10"/>
  <c r="X28" i="10"/>
  <c r="Q28" i="10"/>
  <c r="P28" i="10"/>
  <c r="O28" i="10"/>
  <c r="N28" i="10"/>
  <c r="R28" i="10" s="1"/>
  <c r="M28" i="10"/>
  <c r="B28" i="10"/>
  <c r="B27" i="5" s="1"/>
  <c r="C28" i="12" s="1"/>
  <c r="C68" i="12" s="1"/>
  <c r="AD27" i="10"/>
  <c r="X27" i="10"/>
  <c r="Q27" i="10"/>
  <c r="P27" i="10"/>
  <c r="O27" i="10"/>
  <c r="N27" i="10"/>
  <c r="M27" i="10"/>
  <c r="B27" i="10"/>
  <c r="B26" i="5" s="1"/>
  <c r="C27" i="12" s="1"/>
  <c r="C107" i="12" s="1"/>
  <c r="AD26" i="10"/>
  <c r="X26" i="10"/>
  <c r="Q26" i="10"/>
  <c r="P26" i="10"/>
  <c r="O26" i="10"/>
  <c r="N26" i="10"/>
  <c r="M26" i="10"/>
  <c r="B26" i="10"/>
  <c r="B25" i="5" s="1"/>
  <c r="C26" i="12" s="1"/>
  <c r="C146" i="12" s="1"/>
  <c r="AD25" i="10"/>
  <c r="X25" i="10"/>
  <c r="Q25" i="10"/>
  <c r="P25" i="10"/>
  <c r="O25" i="10"/>
  <c r="N25" i="10"/>
  <c r="M25" i="10"/>
  <c r="B25" i="10"/>
  <c r="B24" i="5" s="1"/>
  <c r="C25" i="12" s="1"/>
  <c r="AD24" i="10"/>
  <c r="X24" i="10"/>
  <c r="Q24" i="10"/>
  <c r="P24" i="10"/>
  <c r="O24" i="10"/>
  <c r="N24" i="10"/>
  <c r="M24" i="10"/>
  <c r="B24" i="10"/>
  <c r="B23" i="5" s="1"/>
  <c r="C24" i="12" s="1"/>
  <c r="C64" i="12" s="1"/>
  <c r="AD23" i="10"/>
  <c r="X23" i="10"/>
  <c r="Q23" i="10"/>
  <c r="P23" i="10"/>
  <c r="O23" i="10"/>
  <c r="N23" i="10"/>
  <c r="M23" i="10"/>
  <c r="B23" i="10"/>
  <c r="B22" i="5" s="1"/>
  <c r="C23" i="12" s="1"/>
  <c r="C143" i="12" s="1"/>
  <c r="AD22" i="10"/>
  <c r="X22" i="10"/>
  <c r="Q22" i="10"/>
  <c r="P22" i="10"/>
  <c r="O22" i="10"/>
  <c r="N22" i="10"/>
  <c r="M22" i="10"/>
  <c r="B22" i="10"/>
  <c r="B21" i="5" s="1"/>
  <c r="C22" i="12" s="1"/>
  <c r="C62" i="12" s="1"/>
  <c r="AD21" i="10"/>
  <c r="X21" i="10"/>
  <c r="Q21" i="10"/>
  <c r="P21" i="10"/>
  <c r="O21" i="10"/>
  <c r="N21" i="10"/>
  <c r="M21" i="10"/>
  <c r="B21" i="10"/>
  <c r="B20" i="5" s="1"/>
  <c r="C21" i="12" s="1"/>
  <c r="AD20" i="10"/>
  <c r="X20" i="10"/>
  <c r="Q20" i="10"/>
  <c r="P20" i="10"/>
  <c r="O20" i="10"/>
  <c r="N20" i="10"/>
  <c r="M20" i="10"/>
  <c r="B20" i="10"/>
  <c r="B19" i="5" s="1"/>
  <c r="C20" i="12" s="1"/>
  <c r="C60" i="12" s="1"/>
  <c r="AD19" i="10"/>
  <c r="X19" i="10"/>
  <c r="Q19" i="10"/>
  <c r="P19" i="10"/>
  <c r="O19" i="10"/>
  <c r="N19" i="10"/>
  <c r="M19" i="10"/>
  <c r="B19" i="10"/>
  <c r="B18" i="5" s="1"/>
  <c r="C19" i="12" s="1"/>
  <c r="C139" i="12" s="1"/>
  <c r="AD18" i="10"/>
  <c r="X18" i="10"/>
  <c r="Q18" i="10"/>
  <c r="P18" i="10"/>
  <c r="O18" i="10"/>
  <c r="N18" i="10"/>
  <c r="M18" i="10"/>
  <c r="B18" i="10"/>
  <c r="B17" i="5" s="1"/>
  <c r="C18" i="12" s="1"/>
  <c r="C138" i="12" s="1"/>
  <c r="AD17" i="10"/>
  <c r="X17" i="10"/>
  <c r="Q17" i="10"/>
  <c r="P17" i="10"/>
  <c r="O17" i="10"/>
  <c r="N17" i="10"/>
  <c r="M17" i="10"/>
  <c r="B17" i="10"/>
  <c r="B16" i="5" s="1"/>
  <c r="C17" i="12" s="1"/>
  <c r="C137" i="12" s="1"/>
  <c r="AD16" i="10"/>
  <c r="X16" i="10"/>
  <c r="Q16" i="10"/>
  <c r="P16" i="10"/>
  <c r="O16" i="10"/>
  <c r="N16" i="10"/>
  <c r="M16" i="10"/>
  <c r="B16" i="10"/>
  <c r="B15" i="5" s="1"/>
  <c r="C16" i="12" s="1"/>
  <c r="C136" i="12" s="1"/>
  <c r="AD15" i="10"/>
  <c r="X15" i="10"/>
  <c r="Q15" i="10"/>
  <c r="P15" i="10"/>
  <c r="O15" i="10"/>
  <c r="N15" i="10"/>
  <c r="M15" i="10"/>
  <c r="B15" i="10"/>
  <c r="B14" i="5" s="1"/>
  <c r="C15" i="12" s="1"/>
  <c r="C135" i="12" s="1"/>
  <c r="AD14" i="10"/>
  <c r="X14" i="10"/>
  <c r="Q14" i="10"/>
  <c r="P14" i="10"/>
  <c r="O14" i="10"/>
  <c r="N14" i="10"/>
  <c r="M14" i="10"/>
  <c r="B14" i="10"/>
  <c r="B13" i="5" s="1"/>
  <c r="C14" i="12" s="1"/>
  <c r="C94" i="12" s="1"/>
  <c r="AD13" i="10"/>
  <c r="X13" i="10"/>
  <c r="Q13" i="10"/>
  <c r="P13" i="10"/>
  <c r="O13" i="10"/>
  <c r="N13" i="10"/>
  <c r="M13" i="10"/>
  <c r="B13" i="10"/>
  <c r="B12" i="5" s="1"/>
  <c r="C13" i="12" s="1"/>
  <c r="AD12" i="10"/>
  <c r="X12" i="10"/>
  <c r="Q12" i="10"/>
  <c r="P12" i="10"/>
  <c r="O12" i="10"/>
  <c r="N12" i="10"/>
  <c r="M12" i="10"/>
  <c r="B12" i="10"/>
  <c r="B11" i="5" s="1"/>
  <c r="C12" i="12" s="1"/>
  <c r="C92" i="12" s="1"/>
  <c r="AD11" i="10"/>
  <c r="X11" i="10"/>
  <c r="Q11" i="10"/>
  <c r="P11" i="10"/>
  <c r="O11" i="10"/>
  <c r="N11" i="10"/>
  <c r="M11" i="10"/>
  <c r="B11" i="10"/>
  <c r="B10" i="5" s="1"/>
  <c r="C11" i="12" s="1"/>
  <c r="C131" i="12" s="1"/>
  <c r="AD10" i="10"/>
  <c r="X10" i="10"/>
  <c r="Q10" i="10"/>
  <c r="P10" i="10"/>
  <c r="O10" i="10"/>
  <c r="N10" i="10"/>
  <c r="R10" i="10" s="1"/>
  <c r="M10" i="10"/>
  <c r="B10" i="10"/>
  <c r="B9" i="5" s="1"/>
  <c r="C10" i="12" s="1"/>
  <c r="C130" i="12" s="1"/>
  <c r="A6" i="10"/>
  <c r="A5" i="10"/>
  <c r="A4" i="10"/>
  <c r="A3" i="10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10" i="9"/>
  <c r="AD49" i="9"/>
  <c r="X49" i="9"/>
  <c r="Q49" i="9"/>
  <c r="P49" i="9"/>
  <c r="O49" i="9"/>
  <c r="N49" i="9"/>
  <c r="M49" i="9"/>
  <c r="R49" i="9" s="1"/>
  <c r="AD48" i="9"/>
  <c r="X48" i="9"/>
  <c r="Q48" i="9"/>
  <c r="P48" i="9"/>
  <c r="O48" i="9"/>
  <c r="N48" i="9"/>
  <c r="M48" i="9"/>
  <c r="R48" i="9" s="1"/>
  <c r="AE48" i="9" s="1"/>
  <c r="AG48" i="9" s="1"/>
  <c r="D47" i="5" s="1"/>
  <c r="AD47" i="9"/>
  <c r="X47" i="9"/>
  <c r="Q47" i="9"/>
  <c r="P47" i="9"/>
  <c r="O47" i="9"/>
  <c r="N47" i="9"/>
  <c r="M47" i="9"/>
  <c r="R47" i="9" s="1"/>
  <c r="AD46" i="9"/>
  <c r="X46" i="9"/>
  <c r="Q46" i="9"/>
  <c r="P46" i="9"/>
  <c r="O46" i="9"/>
  <c r="N46" i="9"/>
  <c r="M46" i="9"/>
  <c r="R46" i="9" s="1"/>
  <c r="AE46" i="9" s="1"/>
  <c r="AG46" i="9" s="1"/>
  <c r="D45" i="5" s="1"/>
  <c r="AD45" i="9"/>
  <c r="X45" i="9"/>
  <c r="Q45" i="9"/>
  <c r="P45" i="9"/>
  <c r="O45" i="9"/>
  <c r="N45" i="9"/>
  <c r="M45" i="9"/>
  <c r="R45" i="9" s="1"/>
  <c r="AD44" i="9"/>
  <c r="X44" i="9"/>
  <c r="Q44" i="9"/>
  <c r="P44" i="9"/>
  <c r="O44" i="9"/>
  <c r="N44" i="9"/>
  <c r="M44" i="9"/>
  <c r="AD43" i="9"/>
  <c r="X43" i="9"/>
  <c r="Q43" i="9"/>
  <c r="P43" i="9"/>
  <c r="O43" i="9"/>
  <c r="N43" i="9"/>
  <c r="M43" i="9"/>
  <c r="R43" i="9" s="1"/>
  <c r="AD42" i="9"/>
  <c r="X42" i="9"/>
  <c r="Q42" i="9"/>
  <c r="P42" i="9"/>
  <c r="O42" i="9"/>
  <c r="N42" i="9"/>
  <c r="M42" i="9"/>
  <c r="AD41" i="9"/>
  <c r="X41" i="9"/>
  <c r="Q41" i="9"/>
  <c r="P41" i="9"/>
  <c r="O41" i="9"/>
  <c r="N41" i="9"/>
  <c r="M41" i="9"/>
  <c r="R41" i="9" s="1"/>
  <c r="AD40" i="9"/>
  <c r="X40" i="9"/>
  <c r="Q40" i="9"/>
  <c r="P40" i="9"/>
  <c r="O40" i="9"/>
  <c r="N40" i="9"/>
  <c r="M40" i="9"/>
  <c r="AD39" i="9"/>
  <c r="X39" i="9"/>
  <c r="Q39" i="9"/>
  <c r="P39" i="9"/>
  <c r="O39" i="9"/>
  <c r="N39" i="9"/>
  <c r="M39" i="9"/>
  <c r="R39" i="9" s="1"/>
  <c r="AD38" i="9"/>
  <c r="X38" i="9"/>
  <c r="Q38" i="9"/>
  <c r="P38" i="9"/>
  <c r="O38" i="9"/>
  <c r="N38" i="9"/>
  <c r="M38" i="9"/>
  <c r="AD37" i="9"/>
  <c r="X37" i="9"/>
  <c r="Q37" i="9"/>
  <c r="P37" i="9"/>
  <c r="O37" i="9"/>
  <c r="N37" i="9"/>
  <c r="M37" i="9"/>
  <c r="R37" i="9" s="1"/>
  <c r="AD36" i="9"/>
  <c r="X36" i="9"/>
  <c r="Q36" i="9"/>
  <c r="P36" i="9"/>
  <c r="O36" i="9"/>
  <c r="N36" i="9"/>
  <c r="M36" i="9"/>
  <c r="AD35" i="9"/>
  <c r="X35" i="9"/>
  <c r="Q35" i="9"/>
  <c r="P35" i="9"/>
  <c r="O35" i="9"/>
  <c r="N35" i="9"/>
  <c r="M35" i="9"/>
  <c r="R35" i="9" s="1"/>
  <c r="AD34" i="9"/>
  <c r="X34" i="9"/>
  <c r="Q34" i="9"/>
  <c r="P34" i="9"/>
  <c r="O34" i="9"/>
  <c r="N34" i="9"/>
  <c r="M34" i="9"/>
  <c r="AD33" i="9"/>
  <c r="X33" i="9"/>
  <c r="Q33" i="9"/>
  <c r="P33" i="9"/>
  <c r="O33" i="9"/>
  <c r="N33" i="9"/>
  <c r="M33" i="9"/>
  <c r="AD32" i="9"/>
  <c r="X32" i="9"/>
  <c r="Q32" i="9"/>
  <c r="P32" i="9"/>
  <c r="O32" i="9"/>
  <c r="N32" i="9"/>
  <c r="M32" i="9"/>
  <c r="AD31" i="9"/>
  <c r="X31" i="9"/>
  <c r="Q31" i="9"/>
  <c r="P31" i="9"/>
  <c r="O31" i="9"/>
  <c r="N31" i="9"/>
  <c r="M31" i="9"/>
  <c r="AD30" i="9"/>
  <c r="X30" i="9"/>
  <c r="Q30" i="9"/>
  <c r="P30" i="9"/>
  <c r="O30" i="9"/>
  <c r="N30" i="9"/>
  <c r="M30" i="9"/>
  <c r="AD29" i="9"/>
  <c r="X29" i="9"/>
  <c r="Q29" i="9"/>
  <c r="P29" i="9"/>
  <c r="O29" i="9"/>
  <c r="N29" i="9"/>
  <c r="M29" i="9"/>
  <c r="AD28" i="9"/>
  <c r="X28" i="9"/>
  <c r="Q28" i="9"/>
  <c r="P28" i="9"/>
  <c r="O28" i="9"/>
  <c r="N28" i="9"/>
  <c r="M28" i="9"/>
  <c r="AD27" i="9"/>
  <c r="X27" i="9"/>
  <c r="Q27" i="9"/>
  <c r="P27" i="9"/>
  <c r="O27" i="9"/>
  <c r="N27" i="9"/>
  <c r="M27" i="9"/>
  <c r="AD26" i="9"/>
  <c r="X26" i="9"/>
  <c r="Q26" i="9"/>
  <c r="P26" i="9"/>
  <c r="O26" i="9"/>
  <c r="N26" i="9"/>
  <c r="M26" i="9"/>
  <c r="AD25" i="9"/>
  <c r="X25" i="9"/>
  <c r="Q25" i="9"/>
  <c r="P25" i="9"/>
  <c r="O25" i="9"/>
  <c r="N25" i="9"/>
  <c r="M25" i="9"/>
  <c r="AD24" i="9"/>
  <c r="X24" i="9"/>
  <c r="Q24" i="9"/>
  <c r="P24" i="9"/>
  <c r="O24" i="9"/>
  <c r="N24" i="9"/>
  <c r="M24" i="9"/>
  <c r="AD23" i="9"/>
  <c r="X23" i="9"/>
  <c r="Q23" i="9"/>
  <c r="P23" i="9"/>
  <c r="O23" i="9"/>
  <c r="N23" i="9"/>
  <c r="M23" i="9"/>
  <c r="AD22" i="9"/>
  <c r="X22" i="9"/>
  <c r="Q22" i="9"/>
  <c r="P22" i="9"/>
  <c r="O22" i="9"/>
  <c r="N22" i="9"/>
  <c r="M22" i="9"/>
  <c r="AD21" i="9"/>
  <c r="X21" i="9"/>
  <c r="Q21" i="9"/>
  <c r="P21" i="9"/>
  <c r="O21" i="9"/>
  <c r="N21" i="9"/>
  <c r="M21" i="9"/>
  <c r="AD20" i="9"/>
  <c r="X20" i="9"/>
  <c r="Q20" i="9"/>
  <c r="P20" i="9"/>
  <c r="O20" i="9"/>
  <c r="N20" i="9"/>
  <c r="M20" i="9"/>
  <c r="AD19" i="9"/>
  <c r="X19" i="9"/>
  <c r="Q19" i="9"/>
  <c r="P19" i="9"/>
  <c r="O19" i="9"/>
  <c r="N19" i="9"/>
  <c r="M19" i="9"/>
  <c r="AD18" i="9"/>
  <c r="X18" i="9"/>
  <c r="Q18" i="9"/>
  <c r="P18" i="9"/>
  <c r="O18" i="9"/>
  <c r="N18" i="9"/>
  <c r="M18" i="9"/>
  <c r="AD17" i="9"/>
  <c r="X17" i="9"/>
  <c r="Q17" i="9"/>
  <c r="P17" i="9"/>
  <c r="O17" i="9"/>
  <c r="N17" i="9"/>
  <c r="M17" i="9"/>
  <c r="AD16" i="9"/>
  <c r="X16" i="9"/>
  <c r="Q16" i="9"/>
  <c r="P16" i="9"/>
  <c r="O16" i="9"/>
  <c r="N16" i="9"/>
  <c r="M16" i="9"/>
  <c r="AD15" i="9"/>
  <c r="X15" i="9"/>
  <c r="Q15" i="9"/>
  <c r="P15" i="9"/>
  <c r="O15" i="9"/>
  <c r="N15" i="9"/>
  <c r="M15" i="9"/>
  <c r="AD14" i="9"/>
  <c r="X14" i="9"/>
  <c r="Q14" i="9"/>
  <c r="P14" i="9"/>
  <c r="O14" i="9"/>
  <c r="N14" i="9"/>
  <c r="M14" i="9"/>
  <c r="AD13" i="9"/>
  <c r="X13" i="9"/>
  <c r="Q13" i="9"/>
  <c r="P13" i="9"/>
  <c r="O13" i="9"/>
  <c r="N13" i="9"/>
  <c r="M13" i="9"/>
  <c r="AD12" i="9"/>
  <c r="X12" i="9"/>
  <c r="Q12" i="9"/>
  <c r="P12" i="9"/>
  <c r="O12" i="9"/>
  <c r="N12" i="9"/>
  <c r="M12" i="9"/>
  <c r="AD11" i="9"/>
  <c r="X11" i="9"/>
  <c r="Q11" i="9"/>
  <c r="P11" i="9"/>
  <c r="O11" i="9"/>
  <c r="N11" i="9"/>
  <c r="M11" i="9"/>
  <c r="AD10" i="9"/>
  <c r="X10" i="9"/>
  <c r="Q10" i="9"/>
  <c r="P10" i="9"/>
  <c r="O10" i="9"/>
  <c r="N10" i="9"/>
  <c r="M10" i="9"/>
  <c r="A6" i="9"/>
  <c r="A5" i="9"/>
  <c r="A4" i="9"/>
  <c r="A3" i="9"/>
  <c r="AD49" i="8"/>
  <c r="X49" i="8"/>
  <c r="Q49" i="8"/>
  <c r="P49" i="8"/>
  <c r="O49" i="8"/>
  <c r="N49" i="8"/>
  <c r="M49" i="8"/>
  <c r="R49" i="8" s="1"/>
  <c r="AE49" i="8" s="1"/>
  <c r="AG49" i="8" s="1"/>
  <c r="AD48" i="8"/>
  <c r="X48" i="8"/>
  <c r="Q48" i="8"/>
  <c r="P48" i="8"/>
  <c r="O48" i="8"/>
  <c r="N48" i="8"/>
  <c r="M48" i="8"/>
  <c r="R48" i="8" s="1"/>
  <c r="AE48" i="8" s="1"/>
  <c r="AG48" i="8" s="1"/>
  <c r="AD47" i="8"/>
  <c r="X47" i="8"/>
  <c r="Q47" i="8"/>
  <c r="P47" i="8"/>
  <c r="O47" i="8"/>
  <c r="N47" i="8"/>
  <c r="M47" i="8"/>
  <c r="R47" i="8" s="1"/>
  <c r="AE47" i="8" s="1"/>
  <c r="AG47" i="8" s="1"/>
  <c r="AD46" i="8"/>
  <c r="X46" i="8"/>
  <c r="Q46" i="8"/>
  <c r="P46" i="8"/>
  <c r="O46" i="8"/>
  <c r="N46" i="8"/>
  <c r="M46" i="8"/>
  <c r="R46" i="8" s="1"/>
  <c r="AE46" i="8" s="1"/>
  <c r="AG46" i="8" s="1"/>
  <c r="AD45" i="8"/>
  <c r="X45" i="8"/>
  <c r="Q45" i="8"/>
  <c r="P45" i="8"/>
  <c r="O45" i="8"/>
  <c r="N45" i="8"/>
  <c r="M45" i="8"/>
  <c r="R45" i="8" s="1"/>
  <c r="AE45" i="8" s="1"/>
  <c r="AG45" i="8" s="1"/>
  <c r="AD44" i="8"/>
  <c r="X44" i="8"/>
  <c r="Q44" i="8"/>
  <c r="P44" i="8"/>
  <c r="O44" i="8"/>
  <c r="N44" i="8"/>
  <c r="M44" i="8"/>
  <c r="R44" i="8" s="1"/>
  <c r="AE44" i="8" s="1"/>
  <c r="AG44" i="8" s="1"/>
  <c r="AD43" i="8"/>
  <c r="X43" i="8"/>
  <c r="Q43" i="8"/>
  <c r="P43" i="8"/>
  <c r="O43" i="8"/>
  <c r="N43" i="8"/>
  <c r="M43" i="8"/>
  <c r="R43" i="8" s="1"/>
  <c r="AE43" i="8" s="1"/>
  <c r="AG43" i="8" s="1"/>
  <c r="AD42" i="8"/>
  <c r="X42" i="8"/>
  <c r="Q42" i="8"/>
  <c r="P42" i="8"/>
  <c r="O42" i="8"/>
  <c r="N42" i="8"/>
  <c r="M42" i="8"/>
  <c r="R42" i="8" s="1"/>
  <c r="AE42" i="8" s="1"/>
  <c r="AG42" i="8" s="1"/>
  <c r="AD41" i="8"/>
  <c r="X41" i="8"/>
  <c r="Q41" i="8"/>
  <c r="P41" i="8"/>
  <c r="O41" i="8"/>
  <c r="N41" i="8"/>
  <c r="M41" i="8"/>
  <c r="R41" i="8" s="1"/>
  <c r="AE41" i="8" s="1"/>
  <c r="AG41" i="8" s="1"/>
  <c r="C40" i="5" s="1"/>
  <c r="AD40" i="8"/>
  <c r="X40" i="8"/>
  <c r="Q40" i="8"/>
  <c r="P40" i="8"/>
  <c r="O40" i="8"/>
  <c r="N40" i="8"/>
  <c r="M40" i="8"/>
  <c r="AD39" i="8"/>
  <c r="X39" i="8"/>
  <c r="Q39" i="8"/>
  <c r="P39" i="8"/>
  <c r="O39" i="8"/>
  <c r="N39" i="8"/>
  <c r="M39" i="8"/>
  <c r="AD38" i="8"/>
  <c r="X38" i="8"/>
  <c r="Q38" i="8"/>
  <c r="P38" i="8"/>
  <c r="O38" i="8"/>
  <c r="N38" i="8"/>
  <c r="M38" i="8"/>
  <c r="R38" i="8" s="1"/>
  <c r="AD37" i="8"/>
  <c r="X37" i="8"/>
  <c r="Q37" i="8"/>
  <c r="P37" i="8"/>
  <c r="O37" i="8"/>
  <c r="N37" i="8"/>
  <c r="M37" i="8"/>
  <c r="AD36" i="8"/>
  <c r="X36" i="8"/>
  <c r="Q36" i="8"/>
  <c r="P36" i="8"/>
  <c r="O36" i="8"/>
  <c r="N36" i="8"/>
  <c r="M36" i="8"/>
  <c r="AD35" i="8"/>
  <c r="X35" i="8"/>
  <c r="Q35" i="8"/>
  <c r="P35" i="8"/>
  <c r="O35" i="8"/>
  <c r="N35" i="8"/>
  <c r="M35" i="8"/>
  <c r="AD34" i="8"/>
  <c r="X34" i="8"/>
  <c r="Q34" i="8"/>
  <c r="P34" i="8"/>
  <c r="O34" i="8"/>
  <c r="N34" i="8"/>
  <c r="M34" i="8"/>
  <c r="R34" i="8" s="1"/>
  <c r="AD33" i="8"/>
  <c r="X33" i="8"/>
  <c r="Q33" i="8"/>
  <c r="P33" i="8"/>
  <c r="O33" i="8"/>
  <c r="N33" i="8"/>
  <c r="M33" i="8"/>
  <c r="AD32" i="8"/>
  <c r="X32" i="8"/>
  <c r="Q32" i="8"/>
  <c r="P32" i="8"/>
  <c r="O32" i="8"/>
  <c r="N32" i="8"/>
  <c r="M32" i="8"/>
  <c r="AD31" i="8"/>
  <c r="X31" i="8"/>
  <c r="Q31" i="8"/>
  <c r="P31" i="8"/>
  <c r="O31" i="8"/>
  <c r="N31" i="8"/>
  <c r="M31" i="8"/>
  <c r="AD30" i="8"/>
  <c r="X30" i="8"/>
  <c r="Q30" i="8"/>
  <c r="P30" i="8"/>
  <c r="O30" i="8"/>
  <c r="N30" i="8"/>
  <c r="M30" i="8"/>
  <c r="R30" i="8" s="1"/>
  <c r="AD29" i="8"/>
  <c r="X29" i="8"/>
  <c r="Q29" i="8"/>
  <c r="P29" i="8"/>
  <c r="O29" i="8"/>
  <c r="N29" i="8"/>
  <c r="M29" i="8"/>
  <c r="AD28" i="8"/>
  <c r="X28" i="8"/>
  <c r="Q28" i="8"/>
  <c r="P28" i="8"/>
  <c r="O28" i="8"/>
  <c r="N28" i="8"/>
  <c r="M28" i="8"/>
  <c r="AD27" i="8"/>
  <c r="X27" i="8"/>
  <c r="Q27" i="8"/>
  <c r="P27" i="8"/>
  <c r="O27" i="8"/>
  <c r="N27" i="8"/>
  <c r="M27" i="8"/>
  <c r="AD26" i="8"/>
  <c r="X26" i="8"/>
  <c r="Q26" i="8"/>
  <c r="P26" i="8"/>
  <c r="O26" i="8"/>
  <c r="N26" i="8"/>
  <c r="M26" i="8"/>
  <c r="R26" i="8" s="1"/>
  <c r="AD25" i="8"/>
  <c r="X25" i="8"/>
  <c r="Q25" i="8"/>
  <c r="P25" i="8"/>
  <c r="O25" i="8"/>
  <c r="N25" i="8"/>
  <c r="M25" i="8"/>
  <c r="AD24" i="8"/>
  <c r="X24" i="8"/>
  <c r="Q24" i="8"/>
  <c r="P24" i="8"/>
  <c r="O24" i="8"/>
  <c r="N24" i="8"/>
  <c r="M24" i="8"/>
  <c r="AD23" i="8"/>
  <c r="X23" i="8"/>
  <c r="Q23" i="8"/>
  <c r="P23" i="8"/>
  <c r="O23" i="8"/>
  <c r="N23" i="8"/>
  <c r="M23" i="8"/>
  <c r="AD22" i="8"/>
  <c r="X22" i="8"/>
  <c r="Q22" i="8"/>
  <c r="P22" i="8"/>
  <c r="O22" i="8"/>
  <c r="N22" i="8"/>
  <c r="M22" i="8"/>
  <c r="R22" i="8" s="1"/>
  <c r="AD21" i="8"/>
  <c r="X21" i="8"/>
  <c r="Q21" i="8"/>
  <c r="P21" i="8"/>
  <c r="O21" i="8"/>
  <c r="N21" i="8"/>
  <c r="M21" i="8"/>
  <c r="AD20" i="8"/>
  <c r="X20" i="8"/>
  <c r="Q20" i="8"/>
  <c r="P20" i="8"/>
  <c r="O20" i="8"/>
  <c r="N20" i="8"/>
  <c r="M20" i="8"/>
  <c r="AD19" i="8"/>
  <c r="X19" i="8"/>
  <c r="Q19" i="8"/>
  <c r="P19" i="8"/>
  <c r="O19" i="8"/>
  <c r="N19" i="8"/>
  <c r="M19" i="8"/>
  <c r="AD18" i="8"/>
  <c r="X18" i="8"/>
  <c r="Q18" i="8"/>
  <c r="P18" i="8"/>
  <c r="O18" i="8"/>
  <c r="N18" i="8"/>
  <c r="M18" i="8"/>
  <c r="R18" i="8" s="1"/>
  <c r="AD17" i="8"/>
  <c r="X17" i="8"/>
  <c r="Q17" i="8"/>
  <c r="P17" i="8"/>
  <c r="O17" i="8"/>
  <c r="N17" i="8"/>
  <c r="M17" i="8"/>
  <c r="AD16" i="8"/>
  <c r="X16" i="8"/>
  <c r="Q16" i="8"/>
  <c r="P16" i="8"/>
  <c r="O16" i="8"/>
  <c r="N16" i="8"/>
  <c r="M16" i="8"/>
  <c r="AD15" i="8"/>
  <c r="X15" i="8"/>
  <c r="Q15" i="8"/>
  <c r="P15" i="8"/>
  <c r="O15" i="8"/>
  <c r="N15" i="8"/>
  <c r="M15" i="8"/>
  <c r="AD14" i="8"/>
  <c r="X14" i="8"/>
  <c r="Q14" i="8"/>
  <c r="P14" i="8"/>
  <c r="O14" i="8"/>
  <c r="N14" i="8"/>
  <c r="M14" i="8"/>
  <c r="AD13" i="8"/>
  <c r="X13" i="8"/>
  <c r="Q13" i="8"/>
  <c r="P13" i="8"/>
  <c r="O13" i="8"/>
  <c r="N13" i="8"/>
  <c r="M13" i="8"/>
  <c r="AD12" i="8"/>
  <c r="X12" i="8"/>
  <c r="Q12" i="8"/>
  <c r="P12" i="8"/>
  <c r="O12" i="8"/>
  <c r="N12" i="8"/>
  <c r="M12" i="8"/>
  <c r="AD11" i="8"/>
  <c r="X11" i="8"/>
  <c r="Q11" i="8"/>
  <c r="P11" i="8"/>
  <c r="O11" i="8"/>
  <c r="N11" i="8"/>
  <c r="M11" i="8"/>
  <c r="AD10" i="8"/>
  <c r="X10" i="8"/>
  <c r="A6" i="8"/>
  <c r="A5" i="8"/>
  <c r="A4" i="8"/>
  <c r="A3" i="8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AE10" i="10" l="1"/>
  <c r="AG10" i="10" s="1"/>
  <c r="E9" i="5" s="1"/>
  <c r="K9" i="5" s="1"/>
  <c r="AE28" i="10"/>
  <c r="AG28" i="10" s="1"/>
  <c r="E27" i="5" s="1"/>
  <c r="D108" i="12" s="1"/>
  <c r="F108" i="12" s="1"/>
  <c r="AE29" i="10"/>
  <c r="AG29" i="10" s="1"/>
  <c r="E28" i="5" s="1"/>
  <c r="K28" i="5" s="1"/>
  <c r="AE32" i="10"/>
  <c r="AG32" i="10" s="1"/>
  <c r="E31" i="5" s="1"/>
  <c r="D112" i="12" s="1"/>
  <c r="F112" i="12" s="1"/>
  <c r="AE36" i="10"/>
  <c r="AG36" i="10" s="1"/>
  <c r="E35" i="5" s="1"/>
  <c r="D116" i="12" s="1"/>
  <c r="F116" i="12" s="1"/>
  <c r="AE40" i="10"/>
  <c r="AG40" i="10" s="1"/>
  <c r="E39" i="5" s="1"/>
  <c r="D109" i="12"/>
  <c r="F109" i="12" s="1"/>
  <c r="D120" i="12"/>
  <c r="F120" i="12" s="1"/>
  <c r="K39" i="5"/>
  <c r="R26" i="10"/>
  <c r="R27" i="10"/>
  <c r="AE27" i="10" s="1"/>
  <c r="AG27" i="10" s="1"/>
  <c r="E26" i="5" s="1"/>
  <c r="D107" i="12" s="1"/>
  <c r="F107" i="12" s="1"/>
  <c r="R30" i="10"/>
  <c r="AE30" i="10" s="1"/>
  <c r="AG30" i="10" s="1"/>
  <c r="E29" i="5" s="1"/>
  <c r="R31" i="10"/>
  <c r="AE31" i="10" s="1"/>
  <c r="AG31" i="10" s="1"/>
  <c r="E30" i="5" s="1"/>
  <c r="D111" i="12" s="1"/>
  <c r="F111" i="12" s="1"/>
  <c r="R33" i="10"/>
  <c r="AE33" i="10" s="1"/>
  <c r="AG33" i="10" s="1"/>
  <c r="E32" i="5" s="1"/>
  <c r="R34" i="10"/>
  <c r="AE34" i="10" s="1"/>
  <c r="AG34" i="10" s="1"/>
  <c r="E33" i="5" s="1"/>
  <c r="R35" i="10"/>
  <c r="AE35" i="10" s="1"/>
  <c r="AG35" i="10" s="1"/>
  <c r="E34" i="5" s="1"/>
  <c r="R37" i="10"/>
  <c r="AE37" i="10" s="1"/>
  <c r="AG37" i="10" s="1"/>
  <c r="E36" i="5" s="1"/>
  <c r="R38" i="10"/>
  <c r="AE38" i="10" s="1"/>
  <c r="AG38" i="10" s="1"/>
  <c r="E37" i="5" s="1"/>
  <c r="R39" i="10"/>
  <c r="AE39" i="10" s="1"/>
  <c r="AG39" i="10" s="1"/>
  <c r="E38" i="5" s="1"/>
  <c r="R41" i="10"/>
  <c r="AE41" i="10" s="1"/>
  <c r="AG41" i="10" s="1"/>
  <c r="E40" i="5" s="1"/>
  <c r="R42" i="10"/>
  <c r="AE42" i="10" s="1"/>
  <c r="AG42" i="10" s="1"/>
  <c r="E41" i="5" s="1"/>
  <c r="F41" i="5" s="1"/>
  <c r="D162" i="12" s="1"/>
  <c r="F162" i="12" s="1"/>
  <c r="R43" i="10"/>
  <c r="AE43" i="10" s="1"/>
  <c r="AG43" i="10" s="1"/>
  <c r="E42" i="5" s="1"/>
  <c r="D123" i="12" s="1"/>
  <c r="F123" i="12" s="1"/>
  <c r="D90" i="12"/>
  <c r="F90" i="12" s="1"/>
  <c r="R11" i="10"/>
  <c r="AE11" i="10" s="1"/>
  <c r="AG11" i="10" s="1"/>
  <c r="E10" i="5" s="1"/>
  <c r="R18" i="10"/>
  <c r="AE18" i="10" s="1"/>
  <c r="AG18" i="10" s="1"/>
  <c r="E17" i="5" s="1"/>
  <c r="D98" i="12" s="1"/>
  <c r="F98" i="12" s="1"/>
  <c r="J45" i="5"/>
  <c r="D86" i="12"/>
  <c r="F86" i="12" s="1"/>
  <c r="D88" i="12"/>
  <c r="F88" i="12" s="1"/>
  <c r="J47" i="5"/>
  <c r="F47" i="5"/>
  <c r="D168" i="12" s="1"/>
  <c r="F168" i="12" s="1"/>
  <c r="F45" i="5"/>
  <c r="D166" i="12" s="1"/>
  <c r="F166" i="12" s="1"/>
  <c r="AE37" i="9"/>
  <c r="AG37" i="9" s="1"/>
  <c r="D36" i="5" s="1"/>
  <c r="AE39" i="9"/>
  <c r="AG39" i="9" s="1"/>
  <c r="D38" i="5" s="1"/>
  <c r="J38" i="5" s="1"/>
  <c r="AE41" i="9"/>
  <c r="AG41" i="9" s="1"/>
  <c r="D40" i="5" s="1"/>
  <c r="D81" i="12" s="1"/>
  <c r="F81" i="12" s="1"/>
  <c r="AE43" i="9"/>
  <c r="AG43" i="9" s="1"/>
  <c r="D42" i="5" s="1"/>
  <c r="D83" i="12" s="1"/>
  <c r="F83" i="12" s="1"/>
  <c r="AE45" i="9"/>
  <c r="AG45" i="9" s="1"/>
  <c r="D44" i="5" s="1"/>
  <c r="D85" i="12" s="1"/>
  <c r="F85" i="12" s="1"/>
  <c r="AE47" i="9"/>
  <c r="AG47" i="9" s="1"/>
  <c r="D46" i="5" s="1"/>
  <c r="AE49" i="9"/>
  <c r="AG49" i="9" s="1"/>
  <c r="D48" i="5" s="1"/>
  <c r="D89" i="12" s="1"/>
  <c r="F89" i="12" s="1"/>
  <c r="F48" i="5"/>
  <c r="D169" i="12" s="1"/>
  <c r="F169" i="12" s="1"/>
  <c r="J36" i="5"/>
  <c r="D77" i="12"/>
  <c r="F77" i="12" s="1"/>
  <c r="J42" i="5"/>
  <c r="F44" i="5"/>
  <c r="D165" i="12" s="1"/>
  <c r="F165" i="12" s="1"/>
  <c r="R22" i="9"/>
  <c r="R34" i="9"/>
  <c r="AE34" i="9" s="1"/>
  <c r="AG34" i="9" s="1"/>
  <c r="D33" i="5" s="1"/>
  <c r="R36" i="9"/>
  <c r="R38" i="9"/>
  <c r="AE38" i="9" s="1"/>
  <c r="AG38" i="9" s="1"/>
  <c r="D37" i="5" s="1"/>
  <c r="R40" i="9"/>
  <c r="AE40" i="9" s="1"/>
  <c r="AG40" i="9" s="1"/>
  <c r="D39" i="5" s="1"/>
  <c r="R42" i="9"/>
  <c r="AE42" i="9" s="1"/>
  <c r="AG42" i="9" s="1"/>
  <c r="D41" i="5" s="1"/>
  <c r="R44" i="9"/>
  <c r="AE44" i="9" s="1"/>
  <c r="AG44" i="9" s="1"/>
  <c r="D43" i="5" s="1"/>
  <c r="D84" i="12" s="1"/>
  <c r="F84" i="12" s="1"/>
  <c r="D41" i="12"/>
  <c r="F41" i="12" s="1"/>
  <c r="AE34" i="8"/>
  <c r="AG34" i="8" s="1"/>
  <c r="C33" i="5" s="1"/>
  <c r="AE38" i="8"/>
  <c r="AG38" i="8" s="1"/>
  <c r="C37" i="5" s="1"/>
  <c r="D38" i="12" s="1"/>
  <c r="F38" i="12" s="1"/>
  <c r="AE10" i="8"/>
  <c r="AG10" i="8" s="1"/>
  <c r="C9" i="5" s="1"/>
  <c r="D10" i="12" s="1"/>
  <c r="F10" i="12" s="1"/>
  <c r="AE18" i="8"/>
  <c r="AG18" i="8" s="1"/>
  <c r="C17" i="5" s="1"/>
  <c r="D18" i="12" s="1"/>
  <c r="F18" i="12" s="1"/>
  <c r="AE22" i="8"/>
  <c r="AG22" i="8" s="1"/>
  <c r="C21" i="5" s="1"/>
  <c r="D22" i="12" s="1"/>
  <c r="F22" i="12" s="1"/>
  <c r="AE26" i="8"/>
  <c r="AG26" i="8" s="1"/>
  <c r="C25" i="5" s="1"/>
  <c r="D26" i="12" s="1"/>
  <c r="F26" i="12" s="1"/>
  <c r="AE30" i="8"/>
  <c r="AG30" i="8" s="1"/>
  <c r="C29" i="5" s="1"/>
  <c r="D30" i="12" s="1"/>
  <c r="F30" i="12" s="1"/>
  <c r="D34" i="12"/>
  <c r="F34" i="12" s="1"/>
  <c r="R13" i="8"/>
  <c r="R17" i="8"/>
  <c r="AE17" i="8" s="1"/>
  <c r="AG17" i="8" s="1"/>
  <c r="C16" i="5" s="1"/>
  <c r="D17" i="12" s="1"/>
  <c r="F17" i="12" s="1"/>
  <c r="R21" i="8"/>
  <c r="AE21" i="8" s="1"/>
  <c r="AG21" i="8" s="1"/>
  <c r="C20" i="5" s="1"/>
  <c r="D21" i="12" s="1"/>
  <c r="F21" i="12" s="1"/>
  <c r="R25" i="8"/>
  <c r="AE25" i="8" s="1"/>
  <c r="AG25" i="8" s="1"/>
  <c r="C24" i="5" s="1"/>
  <c r="D25" i="12" s="1"/>
  <c r="F25" i="12" s="1"/>
  <c r="R29" i="8"/>
  <c r="AE29" i="8" s="1"/>
  <c r="AG29" i="8" s="1"/>
  <c r="C28" i="5" s="1"/>
  <c r="D29" i="12" s="1"/>
  <c r="F29" i="12" s="1"/>
  <c r="R33" i="8"/>
  <c r="AE33" i="8" s="1"/>
  <c r="AG33" i="8" s="1"/>
  <c r="C32" i="5" s="1"/>
  <c r="D33" i="12" s="1"/>
  <c r="F33" i="12" s="1"/>
  <c r="R37" i="8"/>
  <c r="AE37" i="8" s="1"/>
  <c r="AG37" i="8" s="1"/>
  <c r="C36" i="5" s="1"/>
  <c r="I36" i="5" s="1"/>
  <c r="R12" i="8"/>
  <c r="AE12" i="8" s="1"/>
  <c r="AG12" i="8" s="1"/>
  <c r="C11" i="5" s="1"/>
  <c r="D12" i="12" s="1"/>
  <c r="F12" i="12" s="1"/>
  <c r="R16" i="8"/>
  <c r="AE16" i="8" s="1"/>
  <c r="AG16" i="8" s="1"/>
  <c r="C15" i="5" s="1"/>
  <c r="D16" i="12" s="1"/>
  <c r="F16" i="12" s="1"/>
  <c r="R20" i="8"/>
  <c r="AE20" i="8" s="1"/>
  <c r="AG20" i="8" s="1"/>
  <c r="C19" i="5" s="1"/>
  <c r="D20" i="12" s="1"/>
  <c r="F20" i="12" s="1"/>
  <c r="R24" i="8"/>
  <c r="AE24" i="8" s="1"/>
  <c r="AG24" i="8" s="1"/>
  <c r="C23" i="5" s="1"/>
  <c r="D24" i="12" s="1"/>
  <c r="F24" i="12" s="1"/>
  <c r="R32" i="8"/>
  <c r="AE32" i="8" s="1"/>
  <c r="AG32" i="8" s="1"/>
  <c r="C31" i="5" s="1"/>
  <c r="D32" i="12" s="1"/>
  <c r="F32" i="12" s="1"/>
  <c r="R36" i="8"/>
  <c r="AE36" i="8" s="1"/>
  <c r="AG36" i="8" s="1"/>
  <c r="C35" i="5" s="1"/>
  <c r="D36" i="12" s="1"/>
  <c r="F36" i="12" s="1"/>
  <c r="R40" i="8"/>
  <c r="AE40" i="8" s="1"/>
  <c r="AG40" i="8" s="1"/>
  <c r="C39" i="5" s="1"/>
  <c r="R11" i="8"/>
  <c r="AE11" i="8" s="1"/>
  <c r="AG11" i="8" s="1"/>
  <c r="C10" i="5" s="1"/>
  <c r="D11" i="12" s="1"/>
  <c r="F11" i="12" s="1"/>
  <c r="R15" i="8"/>
  <c r="AE15" i="8" s="1"/>
  <c r="AG15" i="8" s="1"/>
  <c r="C14" i="5" s="1"/>
  <c r="R19" i="8"/>
  <c r="AE19" i="8" s="1"/>
  <c r="AG19" i="8" s="1"/>
  <c r="C18" i="5" s="1"/>
  <c r="D19" i="12" s="1"/>
  <c r="F19" i="12" s="1"/>
  <c r="R23" i="8"/>
  <c r="AE23" i="8" s="1"/>
  <c r="AG23" i="8" s="1"/>
  <c r="C22" i="5" s="1"/>
  <c r="D23" i="12" s="1"/>
  <c r="F23" i="12" s="1"/>
  <c r="R27" i="8"/>
  <c r="AE27" i="8" s="1"/>
  <c r="AG27" i="8" s="1"/>
  <c r="C26" i="5" s="1"/>
  <c r="D27" i="12" s="1"/>
  <c r="F27" i="12" s="1"/>
  <c r="R31" i="8"/>
  <c r="AE31" i="8" s="1"/>
  <c r="AG31" i="8" s="1"/>
  <c r="C30" i="5" s="1"/>
  <c r="D31" i="12" s="1"/>
  <c r="F31" i="12" s="1"/>
  <c r="R35" i="8"/>
  <c r="AE35" i="8" s="1"/>
  <c r="AG35" i="8" s="1"/>
  <c r="C34" i="5" s="1"/>
  <c r="D35" i="12" s="1"/>
  <c r="F35" i="12" s="1"/>
  <c r="R39" i="8"/>
  <c r="AE39" i="8" s="1"/>
  <c r="AG39" i="8" s="1"/>
  <c r="C38" i="5" s="1"/>
  <c r="I38" i="5" s="1"/>
  <c r="AE26" i="10"/>
  <c r="AG26" i="10" s="1"/>
  <c r="E25" i="5" s="1"/>
  <c r="R25" i="10"/>
  <c r="AE25" i="10" s="1"/>
  <c r="AG25" i="10" s="1"/>
  <c r="E24" i="5" s="1"/>
  <c r="R24" i="10"/>
  <c r="AE24" i="10" s="1"/>
  <c r="AG24" i="10" s="1"/>
  <c r="E23" i="5" s="1"/>
  <c r="R23" i="10"/>
  <c r="AE23" i="10" s="1"/>
  <c r="AG23" i="10" s="1"/>
  <c r="E22" i="5" s="1"/>
  <c r="R22" i="10"/>
  <c r="AE22" i="10" s="1"/>
  <c r="AG22" i="10" s="1"/>
  <c r="E21" i="5" s="1"/>
  <c r="R21" i="10"/>
  <c r="AE21" i="10" s="1"/>
  <c r="AG21" i="10" s="1"/>
  <c r="E20" i="5" s="1"/>
  <c r="R20" i="10"/>
  <c r="AE20" i="10" s="1"/>
  <c r="AG20" i="10" s="1"/>
  <c r="E19" i="5" s="1"/>
  <c r="D100" i="12" s="1"/>
  <c r="F100" i="12" s="1"/>
  <c r="R19" i="10"/>
  <c r="AE19" i="10" s="1"/>
  <c r="AG19" i="10" s="1"/>
  <c r="E18" i="5" s="1"/>
  <c r="R17" i="10"/>
  <c r="AE17" i="10" s="1"/>
  <c r="AG17" i="10" s="1"/>
  <c r="E16" i="5" s="1"/>
  <c r="R16" i="10"/>
  <c r="AE16" i="10" s="1"/>
  <c r="AG16" i="10" s="1"/>
  <c r="E15" i="5" s="1"/>
  <c r="D96" i="12" s="1"/>
  <c r="F96" i="12" s="1"/>
  <c r="R15" i="10"/>
  <c r="AE15" i="10" s="1"/>
  <c r="AG15" i="10" s="1"/>
  <c r="E14" i="5" s="1"/>
  <c r="D95" i="12" s="1"/>
  <c r="F95" i="12" s="1"/>
  <c r="R14" i="10"/>
  <c r="AE14" i="10" s="1"/>
  <c r="AG14" i="10" s="1"/>
  <c r="E13" i="5" s="1"/>
  <c r="R13" i="10"/>
  <c r="AE13" i="10" s="1"/>
  <c r="AG13" i="10" s="1"/>
  <c r="E12" i="5" s="1"/>
  <c r="R12" i="10"/>
  <c r="AE12" i="10" s="1"/>
  <c r="AG12" i="10" s="1"/>
  <c r="E11" i="5" s="1"/>
  <c r="D92" i="12" s="1"/>
  <c r="F92" i="12" s="1"/>
  <c r="AE36" i="9"/>
  <c r="AG36" i="9" s="1"/>
  <c r="D35" i="5" s="1"/>
  <c r="F35" i="5" s="1"/>
  <c r="AE35" i="9"/>
  <c r="AG35" i="9" s="1"/>
  <c r="D34" i="5" s="1"/>
  <c r="R33" i="9"/>
  <c r="AE33" i="9" s="1"/>
  <c r="AG33" i="9" s="1"/>
  <c r="D32" i="5" s="1"/>
  <c r="D73" i="12" s="1"/>
  <c r="F73" i="12" s="1"/>
  <c r="R32" i="9"/>
  <c r="AE32" i="9" s="1"/>
  <c r="AG32" i="9" s="1"/>
  <c r="D31" i="5" s="1"/>
  <c r="R31" i="9"/>
  <c r="AE31" i="9" s="1"/>
  <c r="AG31" i="9" s="1"/>
  <c r="D30" i="5" s="1"/>
  <c r="R30" i="9"/>
  <c r="AE30" i="9" s="1"/>
  <c r="AG30" i="9" s="1"/>
  <c r="D29" i="5" s="1"/>
  <c r="R29" i="9"/>
  <c r="AE29" i="9" s="1"/>
  <c r="AG29" i="9" s="1"/>
  <c r="D28" i="5" s="1"/>
  <c r="R28" i="9"/>
  <c r="AE28" i="9" s="1"/>
  <c r="AG28" i="9" s="1"/>
  <c r="D27" i="5" s="1"/>
  <c r="R27" i="9"/>
  <c r="AE27" i="9" s="1"/>
  <c r="AG27" i="9" s="1"/>
  <c r="D26" i="5" s="1"/>
  <c r="F26" i="5" s="1"/>
  <c r="D147" i="12" s="1"/>
  <c r="F147" i="12" s="1"/>
  <c r="R26" i="9"/>
  <c r="AE26" i="9" s="1"/>
  <c r="AG26" i="9" s="1"/>
  <c r="D25" i="5" s="1"/>
  <c r="R25" i="9"/>
  <c r="AE25" i="9" s="1"/>
  <c r="AG25" i="9" s="1"/>
  <c r="D24" i="5" s="1"/>
  <c r="D65" i="12" s="1"/>
  <c r="F65" i="12" s="1"/>
  <c r="R24" i="9"/>
  <c r="R23" i="9"/>
  <c r="AE23" i="9" s="1"/>
  <c r="AG23" i="9" s="1"/>
  <c r="D22" i="5" s="1"/>
  <c r="D63" i="12" s="1"/>
  <c r="F63" i="12" s="1"/>
  <c r="R21" i="9"/>
  <c r="R20" i="9"/>
  <c r="R19" i="9"/>
  <c r="R18" i="9"/>
  <c r="AE18" i="9" s="1"/>
  <c r="AG18" i="9" s="1"/>
  <c r="D17" i="5" s="1"/>
  <c r="J17" i="5" s="1"/>
  <c r="R17" i="9"/>
  <c r="AE17" i="9" s="1"/>
  <c r="AG17" i="9" s="1"/>
  <c r="D16" i="5" s="1"/>
  <c r="R16" i="9"/>
  <c r="AE16" i="9" s="1"/>
  <c r="AG16" i="9" s="1"/>
  <c r="D15" i="5" s="1"/>
  <c r="R15" i="9"/>
  <c r="AE15" i="9" s="1"/>
  <c r="AG15" i="9" s="1"/>
  <c r="D14" i="5" s="1"/>
  <c r="R14" i="9"/>
  <c r="R13" i="9"/>
  <c r="AE13" i="9" s="1"/>
  <c r="AG13" i="9" s="1"/>
  <c r="D12" i="5" s="1"/>
  <c r="R12" i="9"/>
  <c r="AE12" i="9" s="1"/>
  <c r="AG12" i="9" s="1"/>
  <c r="D11" i="5" s="1"/>
  <c r="R11" i="9"/>
  <c r="AE11" i="9" s="1"/>
  <c r="AG11" i="9" s="1"/>
  <c r="D10" i="5" s="1"/>
  <c r="R10" i="9"/>
  <c r="AE10" i="9" s="1"/>
  <c r="AG10" i="9" s="1"/>
  <c r="D9" i="5" s="1"/>
  <c r="F9" i="5" s="1"/>
  <c r="D130" i="12" s="1"/>
  <c r="F130" i="12" s="1"/>
  <c r="AE24" i="9"/>
  <c r="AG24" i="9" s="1"/>
  <c r="D23" i="5" s="1"/>
  <c r="D64" i="12" s="1"/>
  <c r="F64" i="12" s="1"/>
  <c r="AE22" i="9"/>
  <c r="AG22" i="9" s="1"/>
  <c r="D21" i="5" s="1"/>
  <c r="AE21" i="9"/>
  <c r="AG21" i="9" s="1"/>
  <c r="D20" i="5" s="1"/>
  <c r="AE20" i="9"/>
  <c r="AG20" i="9" s="1"/>
  <c r="D19" i="5" s="1"/>
  <c r="AE19" i="9"/>
  <c r="AG19" i="9" s="1"/>
  <c r="D18" i="5" s="1"/>
  <c r="AE14" i="9"/>
  <c r="AG14" i="9" s="1"/>
  <c r="D13" i="5" s="1"/>
  <c r="C52" i="12"/>
  <c r="C148" i="12"/>
  <c r="B111" i="12"/>
  <c r="B159" i="12"/>
  <c r="C100" i="12"/>
  <c r="R14" i="8"/>
  <c r="AE14" i="8" s="1"/>
  <c r="AG14" i="8" s="1"/>
  <c r="C13" i="5" s="1"/>
  <c r="D14" i="12" s="1"/>
  <c r="F14" i="12" s="1"/>
  <c r="C75" i="12"/>
  <c r="C123" i="12"/>
  <c r="C79" i="12"/>
  <c r="C67" i="12"/>
  <c r="C51" i="12"/>
  <c r="C108" i="12"/>
  <c r="C99" i="12"/>
  <c r="C156" i="12"/>
  <c r="C147" i="12"/>
  <c r="B135" i="12"/>
  <c r="C59" i="12"/>
  <c r="B127" i="12"/>
  <c r="C116" i="12"/>
  <c r="B95" i="12"/>
  <c r="C164" i="12"/>
  <c r="C155" i="12"/>
  <c r="B143" i="12"/>
  <c r="C132" i="12"/>
  <c r="C91" i="12"/>
  <c r="C87" i="12"/>
  <c r="B119" i="12"/>
  <c r="B167" i="12"/>
  <c r="C83" i="12"/>
  <c r="C71" i="12"/>
  <c r="C63" i="12"/>
  <c r="C124" i="12"/>
  <c r="B103" i="12"/>
  <c r="B151" i="12"/>
  <c r="C140" i="12"/>
  <c r="B168" i="12"/>
  <c r="B128" i="12"/>
  <c r="C85" i="12"/>
  <c r="C165" i="12"/>
  <c r="C125" i="12"/>
  <c r="B164" i="12"/>
  <c r="B124" i="12"/>
  <c r="B160" i="12"/>
  <c r="B120" i="12"/>
  <c r="C77" i="12"/>
  <c r="C157" i="12"/>
  <c r="C117" i="12"/>
  <c r="B156" i="12"/>
  <c r="B116" i="12"/>
  <c r="C73" i="12"/>
  <c r="C153" i="12"/>
  <c r="B152" i="12"/>
  <c r="B112" i="12"/>
  <c r="C149" i="12"/>
  <c r="C109" i="12"/>
  <c r="C69" i="12"/>
  <c r="B148" i="12"/>
  <c r="B108" i="12"/>
  <c r="C65" i="12"/>
  <c r="C145" i="12"/>
  <c r="B144" i="12"/>
  <c r="B104" i="12"/>
  <c r="C141" i="12"/>
  <c r="C101" i="12"/>
  <c r="C61" i="12"/>
  <c r="B140" i="12"/>
  <c r="B100" i="12"/>
  <c r="B136" i="12"/>
  <c r="B96" i="12"/>
  <c r="B56" i="12"/>
  <c r="C133" i="12"/>
  <c r="C93" i="12"/>
  <c r="C53" i="12"/>
  <c r="B132" i="12"/>
  <c r="B92" i="12"/>
  <c r="B52" i="12"/>
  <c r="B84" i="12"/>
  <c r="B68" i="12"/>
  <c r="C57" i="12"/>
  <c r="C129" i="12"/>
  <c r="C121" i="12"/>
  <c r="C113" i="12"/>
  <c r="C105" i="12"/>
  <c r="C97" i="12"/>
  <c r="C169" i="12"/>
  <c r="C161" i="12"/>
  <c r="B57" i="12"/>
  <c r="C54" i="12"/>
  <c r="B129" i="12"/>
  <c r="C118" i="12"/>
  <c r="C102" i="12"/>
  <c r="C166" i="12"/>
  <c r="C158" i="12"/>
  <c r="B145" i="12"/>
  <c r="C142" i="12"/>
  <c r="B137" i="12"/>
  <c r="C134" i="12"/>
  <c r="B166" i="12"/>
  <c r="B126" i="12"/>
  <c r="B162" i="12"/>
  <c r="B122" i="12"/>
  <c r="B158" i="12"/>
  <c r="B118" i="12"/>
  <c r="B154" i="12"/>
  <c r="B114" i="12"/>
  <c r="B150" i="12"/>
  <c r="B110" i="12"/>
  <c r="B146" i="12"/>
  <c r="B106" i="12"/>
  <c r="B142" i="12"/>
  <c r="B102" i="12"/>
  <c r="B138" i="12"/>
  <c r="B98" i="12"/>
  <c r="B58" i="12"/>
  <c r="B134" i="12"/>
  <c r="B94" i="12"/>
  <c r="B54" i="12"/>
  <c r="B130" i="12"/>
  <c r="B90" i="12"/>
  <c r="B50" i="12"/>
  <c r="B89" i="12"/>
  <c r="B85" i="12"/>
  <c r="B83" i="12"/>
  <c r="B81" i="12"/>
  <c r="B77" i="12"/>
  <c r="B75" i="12"/>
  <c r="B73" i="12"/>
  <c r="B69" i="12"/>
  <c r="B67" i="12"/>
  <c r="B65" i="12"/>
  <c r="B61" i="12"/>
  <c r="B59" i="12"/>
  <c r="C56" i="12"/>
  <c r="B51" i="12"/>
  <c r="C128" i="12"/>
  <c r="B123" i="12"/>
  <c r="C120" i="12"/>
  <c r="B115" i="12"/>
  <c r="C112" i="12"/>
  <c r="B107" i="12"/>
  <c r="C104" i="12"/>
  <c r="B99" i="12"/>
  <c r="C96" i="12"/>
  <c r="B91" i="12"/>
  <c r="C168" i="12"/>
  <c r="C160" i="12"/>
  <c r="C152" i="12"/>
  <c r="C144" i="12"/>
  <c r="C126" i="12"/>
  <c r="B121" i="12"/>
  <c r="B113" i="12"/>
  <c r="C110" i="12"/>
  <c r="C150" i="12"/>
  <c r="C82" i="12"/>
  <c r="C74" i="12"/>
  <c r="C66" i="12"/>
  <c r="C58" i="12"/>
  <c r="C55" i="12"/>
  <c r="B53" i="12"/>
  <c r="C50" i="12"/>
  <c r="C127" i="12"/>
  <c r="B125" i="12"/>
  <c r="C122" i="12"/>
  <c r="C119" i="12"/>
  <c r="B117" i="12"/>
  <c r="C114" i="12"/>
  <c r="C111" i="12"/>
  <c r="B109" i="12"/>
  <c r="C106" i="12"/>
  <c r="C103" i="12"/>
  <c r="B101" i="12"/>
  <c r="C98" i="12"/>
  <c r="C95" i="12"/>
  <c r="B93" i="12"/>
  <c r="C90" i="12"/>
  <c r="R28" i="8"/>
  <c r="AE28" i="8" s="1"/>
  <c r="AG28" i="8" s="1"/>
  <c r="C27" i="5" s="1"/>
  <c r="D28" i="12" s="1"/>
  <c r="F28" i="12" s="1"/>
  <c r="AE13" i="8"/>
  <c r="AG13" i="8" s="1"/>
  <c r="C12" i="5" s="1"/>
  <c r="D13" i="12" s="1"/>
  <c r="F13" i="12" s="1"/>
  <c r="I33" i="5"/>
  <c r="I40" i="5"/>
  <c r="I44" i="5"/>
  <c r="I21" i="5"/>
  <c r="I28" i="5"/>
  <c r="I29" i="5"/>
  <c r="I48" i="5"/>
  <c r="I34" i="5"/>
  <c r="I42" i="5"/>
  <c r="I46" i="5"/>
  <c r="L24" i="5"/>
  <c r="L29" i="5"/>
  <c r="L30" i="5"/>
  <c r="L23" i="5"/>
  <c r="L12" i="5"/>
  <c r="L28" i="5"/>
  <c r="L21" i="5"/>
  <c r="L16" i="5"/>
  <c r="L27" i="5"/>
  <c r="L20" i="5"/>
  <c r="L18" i="5"/>
  <c r="L15" i="5"/>
  <c r="L11" i="5"/>
  <c r="L10" i="5"/>
  <c r="L31" i="5"/>
  <c r="L9" i="5"/>
  <c r="I41" i="5"/>
  <c r="J48" i="5"/>
  <c r="K19" i="5"/>
  <c r="J44" i="5"/>
  <c r="K15" i="5"/>
  <c r="K31" i="5"/>
  <c r="K46" i="5"/>
  <c r="K47" i="5"/>
  <c r="L17" i="5"/>
  <c r="L19" i="5"/>
  <c r="K35" i="5"/>
  <c r="J24" i="5"/>
  <c r="J40" i="5"/>
  <c r="J43" i="5"/>
  <c r="K11" i="5"/>
  <c r="K26" i="5"/>
  <c r="K27" i="5"/>
  <c r="K43" i="5"/>
  <c r="L13" i="5"/>
  <c r="L14" i="5"/>
  <c r="L22" i="5"/>
  <c r="K42" i="5" l="1"/>
  <c r="F29" i="5"/>
  <c r="D150" i="12" s="1"/>
  <c r="F150" i="12" s="1"/>
  <c r="K17" i="5"/>
  <c r="K30" i="5"/>
  <c r="F33" i="5"/>
  <c r="D154" i="12" s="1"/>
  <c r="F154" i="12" s="1"/>
  <c r="K40" i="5"/>
  <c r="D121" i="12"/>
  <c r="F121" i="12" s="1"/>
  <c r="K37" i="5"/>
  <c r="D118" i="12"/>
  <c r="F118" i="12" s="1"/>
  <c r="K34" i="5"/>
  <c r="D115" i="12"/>
  <c r="F115" i="12" s="1"/>
  <c r="K32" i="5"/>
  <c r="D113" i="12"/>
  <c r="F113" i="12" s="1"/>
  <c r="K29" i="5"/>
  <c r="D110" i="12"/>
  <c r="F110" i="12" s="1"/>
  <c r="H41" i="5"/>
  <c r="M41" i="5" s="1"/>
  <c r="F19" i="5"/>
  <c r="D140" i="12" s="1"/>
  <c r="F140" i="12" s="1"/>
  <c r="F37" i="5"/>
  <c r="D158" i="12" s="1"/>
  <c r="F158" i="12" s="1"/>
  <c r="F40" i="5"/>
  <c r="D161" i="12" s="1"/>
  <c r="F161" i="12" s="1"/>
  <c r="K41" i="5"/>
  <c r="D122" i="12"/>
  <c r="F122" i="12" s="1"/>
  <c r="K38" i="5"/>
  <c r="D119" i="12"/>
  <c r="F119" i="12" s="1"/>
  <c r="K36" i="5"/>
  <c r="D117" i="12"/>
  <c r="F117" i="12" s="1"/>
  <c r="K33" i="5"/>
  <c r="D114" i="12"/>
  <c r="F114" i="12" s="1"/>
  <c r="K14" i="5"/>
  <c r="K10" i="5"/>
  <c r="D91" i="12"/>
  <c r="F91" i="12" s="1"/>
  <c r="D79" i="12"/>
  <c r="F79" i="12" s="1"/>
  <c r="J46" i="5"/>
  <c r="D87" i="12"/>
  <c r="F87" i="12" s="1"/>
  <c r="F42" i="5"/>
  <c r="D163" i="12" s="1"/>
  <c r="F163" i="12" s="1"/>
  <c r="F46" i="5"/>
  <c r="D167" i="12" s="1"/>
  <c r="F167" i="12" s="1"/>
  <c r="J39" i="5"/>
  <c r="D80" i="12"/>
  <c r="F80" i="12" s="1"/>
  <c r="F43" i="5"/>
  <c r="J41" i="5"/>
  <c r="D82" i="12"/>
  <c r="F82" i="12" s="1"/>
  <c r="J37" i="5"/>
  <c r="D78" i="12"/>
  <c r="F78" i="12" s="1"/>
  <c r="J33" i="5"/>
  <c r="D74" i="12"/>
  <c r="F74" i="12" s="1"/>
  <c r="I20" i="5"/>
  <c r="I18" i="5"/>
  <c r="I17" i="5"/>
  <c r="I37" i="5"/>
  <c r="I26" i="5"/>
  <c r="I25" i="5"/>
  <c r="I16" i="5"/>
  <c r="I23" i="5"/>
  <c r="I13" i="5"/>
  <c r="I22" i="5"/>
  <c r="F25" i="5"/>
  <c r="D146" i="12" s="1"/>
  <c r="F146" i="12" s="1"/>
  <c r="D15" i="12"/>
  <c r="F15" i="12" s="1"/>
  <c r="I14" i="5"/>
  <c r="I12" i="5"/>
  <c r="F12" i="5"/>
  <c r="D133" i="12" s="1"/>
  <c r="F133" i="12" s="1"/>
  <c r="I31" i="5"/>
  <c r="F30" i="5"/>
  <c r="D151" i="12" s="1"/>
  <c r="F151" i="12" s="1"/>
  <c r="F36" i="5"/>
  <c r="D37" i="12"/>
  <c r="F37" i="12" s="1"/>
  <c r="I24" i="5"/>
  <c r="F14" i="5"/>
  <c r="D135" i="12" s="1"/>
  <c r="F135" i="12" s="1"/>
  <c r="F31" i="5"/>
  <c r="D152" i="12" s="1"/>
  <c r="F152" i="12" s="1"/>
  <c r="F38" i="5"/>
  <c r="D39" i="12"/>
  <c r="F39" i="12" s="1"/>
  <c r="F39" i="5"/>
  <c r="D40" i="12"/>
  <c r="F40" i="12" s="1"/>
  <c r="I30" i="5"/>
  <c r="D106" i="12"/>
  <c r="F106" i="12" s="1"/>
  <c r="K25" i="5"/>
  <c r="K24" i="5"/>
  <c r="D105" i="12"/>
  <c r="F105" i="12" s="1"/>
  <c r="K23" i="5"/>
  <c r="D104" i="12"/>
  <c r="F104" i="12" s="1"/>
  <c r="K22" i="5"/>
  <c r="D103" i="12"/>
  <c r="F103" i="12" s="1"/>
  <c r="F21" i="5"/>
  <c r="D142" i="12" s="1"/>
  <c r="F142" i="12" s="1"/>
  <c r="K21" i="5"/>
  <c r="D102" i="12"/>
  <c r="F102" i="12" s="1"/>
  <c r="F20" i="5"/>
  <c r="D141" i="12" s="1"/>
  <c r="F141" i="12" s="1"/>
  <c r="K20" i="5"/>
  <c r="D101" i="12"/>
  <c r="F101" i="12" s="1"/>
  <c r="K18" i="5"/>
  <c r="D99" i="12"/>
  <c r="F99" i="12" s="1"/>
  <c r="K16" i="5"/>
  <c r="D97" i="12"/>
  <c r="F97" i="12" s="1"/>
  <c r="F13" i="5"/>
  <c r="D134" i="12" s="1"/>
  <c r="F134" i="12" s="1"/>
  <c r="K13" i="5"/>
  <c r="D94" i="12"/>
  <c r="F94" i="12" s="1"/>
  <c r="K12" i="5"/>
  <c r="D93" i="12"/>
  <c r="F93" i="12" s="1"/>
  <c r="J32" i="5"/>
  <c r="D156" i="12"/>
  <c r="F156" i="12" s="1"/>
  <c r="H35" i="5"/>
  <c r="M35" i="5" s="1"/>
  <c r="J35" i="5"/>
  <c r="D76" i="12"/>
  <c r="F76" i="12" s="1"/>
  <c r="J34" i="5"/>
  <c r="D75" i="12"/>
  <c r="F75" i="12" s="1"/>
  <c r="F34" i="5"/>
  <c r="D155" i="12" s="1"/>
  <c r="F155" i="12" s="1"/>
  <c r="J23" i="5"/>
  <c r="J22" i="5"/>
  <c r="F17" i="5"/>
  <c r="D138" i="12" s="1"/>
  <c r="F138" i="12" s="1"/>
  <c r="D58" i="12"/>
  <c r="F58" i="12" s="1"/>
  <c r="F32" i="5"/>
  <c r="J31" i="5"/>
  <c r="D72" i="12"/>
  <c r="F72" i="12" s="1"/>
  <c r="D69" i="12"/>
  <c r="F69" i="12" s="1"/>
  <c r="J28" i="5"/>
  <c r="D68" i="12"/>
  <c r="F68" i="12" s="1"/>
  <c r="J27" i="5"/>
  <c r="F24" i="5"/>
  <c r="D145" i="12" s="1"/>
  <c r="F145" i="12" s="1"/>
  <c r="F22" i="5"/>
  <c r="D143" i="12" s="1"/>
  <c r="F143" i="12" s="1"/>
  <c r="D57" i="12"/>
  <c r="F57" i="12" s="1"/>
  <c r="F16" i="5"/>
  <c r="D137" i="12" s="1"/>
  <c r="F137" i="12" s="1"/>
  <c r="J16" i="5"/>
  <c r="D56" i="12"/>
  <c r="F56" i="12" s="1"/>
  <c r="J15" i="5"/>
  <c r="J9" i="5"/>
  <c r="D50" i="12"/>
  <c r="F50" i="12" s="1"/>
  <c r="J30" i="5"/>
  <c r="D71" i="12"/>
  <c r="F71" i="12" s="1"/>
  <c r="J29" i="5"/>
  <c r="D70" i="12"/>
  <c r="F70" i="12" s="1"/>
  <c r="F28" i="5"/>
  <c r="D149" i="12" s="1"/>
  <c r="F149" i="12" s="1"/>
  <c r="F27" i="5"/>
  <c r="D148" i="12" s="1"/>
  <c r="F148" i="12" s="1"/>
  <c r="J26" i="5"/>
  <c r="D67" i="12"/>
  <c r="F67" i="12" s="1"/>
  <c r="J25" i="5"/>
  <c r="D66" i="12"/>
  <c r="F66" i="12" s="1"/>
  <c r="F23" i="5"/>
  <c r="D144" i="12" s="1"/>
  <c r="F144" i="12" s="1"/>
  <c r="J21" i="5"/>
  <c r="D62" i="12"/>
  <c r="F62" i="12" s="1"/>
  <c r="J20" i="5"/>
  <c r="D61" i="12"/>
  <c r="F61" i="12" s="1"/>
  <c r="J19" i="5"/>
  <c r="D60" i="12"/>
  <c r="F60" i="12" s="1"/>
  <c r="F18" i="5"/>
  <c r="D59" i="12"/>
  <c r="F59" i="12" s="1"/>
  <c r="J18" i="5"/>
  <c r="F15" i="5"/>
  <c r="D136" i="12" s="1"/>
  <c r="F136" i="12" s="1"/>
  <c r="J14" i="5"/>
  <c r="D55" i="12"/>
  <c r="F55" i="12" s="1"/>
  <c r="J13" i="5"/>
  <c r="D54" i="12"/>
  <c r="F54" i="12" s="1"/>
  <c r="J12" i="5"/>
  <c r="D53" i="12"/>
  <c r="F53" i="12" s="1"/>
  <c r="J11" i="5"/>
  <c r="D52" i="12"/>
  <c r="F52" i="12" s="1"/>
  <c r="F11" i="5"/>
  <c r="D132" i="12" s="1"/>
  <c r="F132" i="12" s="1"/>
  <c r="J10" i="5"/>
  <c r="D51" i="12"/>
  <c r="F51" i="12" s="1"/>
  <c r="F10" i="5"/>
  <c r="D131" i="12" s="1"/>
  <c r="F131" i="12" s="1"/>
  <c r="H44" i="5"/>
  <c r="M44" i="5" s="1"/>
  <c r="I19" i="5"/>
  <c r="H48" i="5"/>
  <c r="M48" i="5" s="1"/>
  <c r="H42" i="5"/>
  <c r="M42" i="5" s="1"/>
  <c r="H37" i="5"/>
  <c r="M37" i="5" s="1"/>
  <c r="H9" i="5"/>
  <c r="M9" i="5" s="1"/>
  <c r="I32" i="5"/>
  <c r="H29" i="5"/>
  <c r="M29" i="5" s="1"/>
  <c r="I15" i="5"/>
  <c r="I39" i="5"/>
  <c r="I43" i="5"/>
  <c r="I35" i="5"/>
  <c r="L26" i="5"/>
  <c r="L25" i="5"/>
  <c r="I45" i="5"/>
  <c r="H45" i="5"/>
  <c r="M45" i="5" s="1"/>
  <c r="H14" i="5"/>
  <c r="M14" i="5" s="1"/>
  <c r="H47" i="5"/>
  <c r="M47" i="5" s="1"/>
  <c r="I47" i="5"/>
  <c r="H26" i="5"/>
  <c r="M26" i="5" s="1"/>
  <c r="H33" i="5" l="1"/>
  <c r="M33" i="5" s="1"/>
  <c r="H40" i="5"/>
  <c r="M40" i="5" s="1"/>
  <c r="H20" i="5"/>
  <c r="M20" i="5" s="1"/>
  <c r="H25" i="5"/>
  <c r="M25" i="5" s="1"/>
  <c r="H19" i="5"/>
  <c r="M19" i="5" s="1"/>
  <c r="P16" i="5"/>
  <c r="D8" i="6" s="1"/>
  <c r="H31" i="5"/>
  <c r="M31" i="5" s="1"/>
  <c r="H13" i="5"/>
  <c r="M13" i="5" s="1"/>
  <c r="H16" i="5"/>
  <c r="M16" i="5" s="1"/>
  <c r="H30" i="5"/>
  <c r="M30" i="5" s="1"/>
  <c r="H17" i="5"/>
  <c r="M17" i="5" s="1"/>
  <c r="H46" i="5"/>
  <c r="M46" i="5" s="1"/>
  <c r="D164" i="12"/>
  <c r="F164" i="12" s="1"/>
  <c r="H43" i="5"/>
  <c r="M43" i="5" s="1"/>
  <c r="D159" i="12"/>
  <c r="F159" i="12" s="1"/>
  <c r="H38" i="5"/>
  <c r="M38" i="5" s="1"/>
  <c r="D157" i="12"/>
  <c r="F157" i="12" s="1"/>
  <c r="H36" i="5"/>
  <c r="M36" i="5" s="1"/>
  <c r="H12" i="5"/>
  <c r="M12" i="5" s="1"/>
  <c r="D160" i="12"/>
  <c r="F160" i="12" s="1"/>
  <c r="H39" i="5"/>
  <c r="M39" i="5" s="1"/>
  <c r="P14" i="5"/>
  <c r="D7" i="6" s="1"/>
  <c r="P12" i="5"/>
  <c r="D6" i="6" s="1"/>
  <c r="H21" i="5"/>
  <c r="M21" i="5" s="1"/>
  <c r="P10" i="5"/>
  <c r="D5" i="6" s="1"/>
  <c r="H23" i="5"/>
  <c r="M23" i="5" s="1"/>
  <c r="H15" i="5"/>
  <c r="M15" i="5" s="1"/>
  <c r="H28" i="5"/>
  <c r="M28" i="5" s="1"/>
  <c r="O10" i="5"/>
  <c r="C5" i="6" s="1"/>
  <c r="H34" i="5"/>
  <c r="M34" i="5" s="1"/>
  <c r="H24" i="5"/>
  <c r="M24" i="5" s="1"/>
  <c r="H22" i="5"/>
  <c r="M22" i="5" s="1"/>
  <c r="O12" i="5"/>
  <c r="C6" i="6" s="1"/>
  <c r="D153" i="12"/>
  <c r="F153" i="12" s="1"/>
  <c r="H32" i="5"/>
  <c r="M32" i="5" s="1"/>
  <c r="O14" i="5"/>
  <c r="C7" i="6" s="1"/>
  <c r="O16" i="5"/>
  <c r="C8" i="6" s="1"/>
  <c r="D139" i="12"/>
  <c r="F139" i="12" s="1"/>
  <c r="H18" i="5"/>
  <c r="M18" i="5" s="1"/>
  <c r="I9" i="5"/>
  <c r="H11" i="5"/>
  <c r="M11" i="5" s="1"/>
  <c r="I11" i="5"/>
  <c r="I10" i="5"/>
  <c r="H10" i="5"/>
  <c r="M10" i="5" s="1"/>
  <c r="I27" i="5"/>
  <c r="H27" i="5"/>
  <c r="M27" i="5" s="1"/>
  <c r="Q12" i="5"/>
  <c r="Q16" i="5"/>
  <c r="Q10" i="5"/>
  <c r="Q14" i="5"/>
  <c r="D9" i="6" l="1"/>
  <c r="E39" i="7" s="1"/>
  <c r="C9" i="6"/>
  <c r="E32" i="7" s="1"/>
  <c r="N12" i="5"/>
  <c r="B6" i="6" s="1"/>
  <c r="N10" i="5"/>
  <c r="B5" i="6" s="1"/>
  <c r="R12" i="5"/>
  <c r="E6" i="6" s="1"/>
  <c r="R10" i="5"/>
  <c r="E5" i="6" s="1"/>
  <c r="R14" i="5"/>
  <c r="E7" i="6" s="1"/>
  <c r="N16" i="5"/>
  <c r="B8" i="6" s="1"/>
  <c r="N14" i="5"/>
  <c r="B7" i="6" s="1"/>
  <c r="R16" i="5"/>
  <c r="E8" i="6" s="1"/>
  <c r="B9" i="6" l="1"/>
  <c r="E25" i="7" s="1"/>
  <c r="H22" i="7" s="1"/>
  <c r="E9" i="6"/>
  <c r="H25" i="7" s="1"/>
  <c r="E21" i="7" l="1"/>
  <c r="H24" i="7"/>
  <c r="E38" i="7"/>
  <c r="E30" i="7"/>
  <c r="E37" i="7"/>
  <c r="E28" i="7"/>
  <c r="E29" i="7"/>
  <c r="E36" i="7"/>
  <c r="E35" i="7"/>
  <c r="E31" i="7"/>
  <c r="E22" i="7"/>
  <c r="H21" i="7"/>
  <c r="H23" i="7"/>
  <c r="E23" i="7"/>
  <c r="E24" i="7"/>
</calcChain>
</file>

<file path=xl/sharedStrings.xml><?xml version="1.0" encoding="utf-8"?>
<sst xmlns="http://schemas.openxmlformats.org/spreadsheetml/2006/main" count="428" uniqueCount="70">
  <si>
    <t>SEDE:</t>
  </si>
  <si>
    <t>ASIGNATURA:</t>
  </si>
  <si>
    <t>DOCENTE:</t>
  </si>
  <si>
    <t>NO</t>
  </si>
  <si>
    <t>ESTUDIANTE</t>
  </si>
  <si>
    <t>COGNITIVAS</t>
  </si>
  <si>
    <t>AXIOLÓGICAS</t>
  </si>
  <si>
    <t>PROCEDIMENTALES</t>
  </si>
  <si>
    <t>ASPE</t>
  </si>
  <si>
    <t>NOTA 1</t>
  </si>
  <si>
    <t>NOTA 2</t>
  </si>
  <si>
    <t xml:space="preserve"> NOTA 3</t>
  </si>
  <si>
    <t>NOTA 4</t>
  </si>
  <si>
    <t>NOTA 5</t>
  </si>
  <si>
    <t>NOTA 3</t>
  </si>
  <si>
    <t xml:space="preserve"> NOTA 5</t>
  </si>
  <si>
    <t>NI</t>
  </si>
  <si>
    <t>AC</t>
  </si>
  <si>
    <t>n1</t>
  </si>
  <si>
    <t>n2</t>
  </si>
  <si>
    <t>n3</t>
  </si>
  <si>
    <t>n4</t>
  </si>
  <si>
    <t>n5</t>
  </si>
  <si>
    <t>GRADO:</t>
  </si>
  <si>
    <t>2 PERIODO</t>
  </si>
  <si>
    <t>3 PERIODO</t>
  </si>
  <si>
    <t>4 PERIODO</t>
  </si>
  <si>
    <t>FINAL PARCIAL</t>
  </si>
  <si>
    <t>ASPE FINAL</t>
  </si>
  <si>
    <t>FINAL DEL AÑO</t>
  </si>
  <si>
    <t>1 PERIODO</t>
  </si>
  <si>
    <t>FINAL</t>
  </si>
  <si>
    <t>BAJO</t>
  </si>
  <si>
    <t>BASICO</t>
  </si>
  <si>
    <t>ALTO</t>
  </si>
  <si>
    <t>SUPERIOR</t>
  </si>
  <si>
    <t>PERIODOS</t>
  </si>
  <si>
    <t>DESEMPEÑOS</t>
  </si>
  <si>
    <t>N.P</t>
  </si>
  <si>
    <t>NOTA1</t>
  </si>
  <si>
    <t>NOTA2</t>
  </si>
  <si>
    <t>NOTA3</t>
  </si>
  <si>
    <t>NOTA4</t>
  </si>
  <si>
    <t>NOTA5</t>
  </si>
  <si>
    <t>Nº ACT</t>
  </si>
  <si>
    <t>Descripción de la Actividad realizada para cada Nota</t>
  </si>
  <si>
    <t>GRUPO:</t>
  </si>
  <si>
    <t>PERIODO 01</t>
  </si>
  <si>
    <t>Periodo 01</t>
  </si>
  <si>
    <t>NOTA PARCIAL</t>
  </si>
  <si>
    <t>NOT FINAL PERIODO</t>
  </si>
  <si>
    <t>Periodo 02</t>
  </si>
  <si>
    <t>Periodo 03</t>
  </si>
  <si>
    <t>Nº</t>
  </si>
  <si>
    <t>PERIODO 
01</t>
  </si>
  <si>
    <t>PERIODO 
02</t>
  </si>
  <si>
    <t>PERIODO 
03</t>
  </si>
  <si>
    <t>INFORME DE NOTAS FINALES</t>
  </si>
  <si>
    <t>PERIODO</t>
  </si>
  <si>
    <t>DESEMPEÑO</t>
  </si>
  <si>
    <t>PERIODO 02</t>
  </si>
  <si>
    <t>PERIODO 03</t>
  </si>
  <si>
    <t>PERIODO FIN</t>
  </si>
  <si>
    <t>NOMBRE DEL ESTUDIANTE</t>
  </si>
  <si>
    <t>NOTA</t>
  </si>
  <si>
    <t>PER. 01</t>
  </si>
  <si>
    <t>PER. 03</t>
  </si>
  <si>
    <t>PER. 02</t>
  </si>
  <si>
    <t>TOTALES…</t>
  </si>
  <si>
    <t>NÚMERO DE ESTUDIANTES 
POR DESEMPEÑO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</si>
</sst>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u/>
      <sz val="8"/>
      <color theme="10"/>
      <name val="Calibri"/>
    </font>
    <font>
      <b/>
      <sz val="14"/>
      <color theme="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b/>
      <sz val="9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8"/>
      <name val="Calibri"/>
      <family val="2"/>
    </font>
    <font>
      <sz val="18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36"/>
      <color theme="0"/>
      <name val="Arial Rounded MT Bold"/>
      <family val="2"/>
    </font>
    <font>
      <b/>
      <sz val="16"/>
      <color rgb="FF0070C0"/>
      <name val="Calibri"/>
      <family val="2"/>
    </font>
    <font>
      <b/>
      <sz val="11"/>
      <color rgb="FF00206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F5D5D"/>
        <bgColor rgb="FFFF5D5D"/>
      </patternFill>
    </fill>
    <fill>
      <patternFill patternType="solid">
        <fgColor rgb="FFFF9393"/>
        <bgColor rgb="FFFF9393"/>
      </patternFill>
    </fill>
    <fill>
      <patternFill patternType="solid">
        <fgColor rgb="FFFFFF5D"/>
        <bgColor rgb="FFFFFF5D"/>
      </patternFill>
    </fill>
    <fill>
      <patternFill patternType="solid">
        <fgColor rgb="FFF8FFA3"/>
        <bgColor rgb="FFF8FFA3"/>
      </patternFill>
    </fill>
    <fill>
      <patternFill patternType="solid">
        <fgColor rgb="FF8DB3E2"/>
        <bgColor rgb="FF8DB3E2"/>
      </patternFill>
    </fill>
    <fill>
      <patternFill patternType="solid">
        <fgColor rgb="FFC2D7F0"/>
        <bgColor rgb="FFC2D7F0"/>
      </patternFill>
    </fill>
    <fill>
      <patternFill patternType="solid">
        <fgColor rgb="FFFFFF99"/>
        <bgColor rgb="FFFFFF99"/>
      </patternFill>
    </fill>
    <fill>
      <patternFill patternType="solid">
        <fgColor rgb="FFF2DBDB"/>
        <bgColor rgb="FFF2DBDB"/>
      </patternFill>
    </fill>
    <fill>
      <patternFill patternType="solid">
        <fgColor rgb="FFFFFF66"/>
        <bgColor rgb="FFFFFF66"/>
      </patternFill>
    </fill>
    <fill>
      <patternFill patternType="solid">
        <fgColor rgb="FF92CDDC"/>
        <bgColor rgb="FF92CDDC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rgb="FF00B0F0"/>
      </patternFill>
    </fill>
    <fill>
      <patternFill patternType="solid">
        <fgColor rgb="FFFF0000"/>
        <bgColor rgb="FFFF9393"/>
      </patternFill>
    </fill>
    <fill>
      <patternFill patternType="solid">
        <fgColor rgb="FFFFFF00"/>
        <bgColor rgb="FFF8FFA3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C2D7F0"/>
      </patternFill>
    </fill>
    <fill>
      <patternFill patternType="solid">
        <fgColor theme="9" tint="0.59999389629810485"/>
        <bgColor rgb="FFFDE9D9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FFFFB3"/>
      </patternFill>
    </fill>
    <fill>
      <patternFill patternType="solid">
        <fgColor theme="8" tint="0.39997558519241921"/>
        <bgColor rgb="FFCCC0D9"/>
      </patternFill>
    </fill>
    <fill>
      <patternFill patternType="solid">
        <fgColor theme="5" tint="0.79998168889431442"/>
        <bgColor indexed="64"/>
      </patternFill>
    </fill>
  </fills>
  <borders count="9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indexed="64"/>
      </left>
      <right/>
      <top/>
      <bottom style="medium">
        <color theme="0"/>
      </bottom>
      <diagonal/>
    </border>
    <border>
      <left/>
      <right style="medium">
        <color indexed="64"/>
      </right>
      <top/>
      <bottom style="medium">
        <color theme="0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2060"/>
      </left>
      <right style="thin">
        <color rgb="FF000000"/>
      </right>
      <top style="medium">
        <color rgb="FF002060"/>
      </top>
      <bottom/>
      <diagonal/>
    </border>
    <border>
      <left style="thin">
        <color rgb="FF000000"/>
      </left>
      <right style="thin">
        <color rgb="FF000000"/>
      </right>
      <top style="medium">
        <color rgb="FF002060"/>
      </top>
      <bottom/>
      <diagonal/>
    </border>
    <border>
      <left style="thin">
        <color rgb="FF000000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2060"/>
      </right>
      <top/>
      <bottom/>
      <diagonal/>
    </border>
    <border>
      <left style="medium">
        <color rgb="FF002060"/>
      </left>
      <right style="thin">
        <color rgb="FF000000"/>
      </right>
      <top/>
      <bottom style="medium">
        <color rgb="FF002060"/>
      </bottom>
      <diagonal/>
    </border>
    <border>
      <left style="thin">
        <color rgb="FF000000"/>
      </left>
      <right style="thin">
        <color rgb="FF000000"/>
      </right>
      <top/>
      <bottom style="medium">
        <color rgb="FF002060"/>
      </bottom>
      <diagonal/>
    </border>
    <border>
      <left style="thin">
        <color rgb="FF000000"/>
      </left>
      <right style="medium">
        <color rgb="FF002060"/>
      </right>
      <top/>
      <bottom style="medium">
        <color rgb="FF002060"/>
      </bottom>
      <diagonal/>
    </border>
    <border>
      <left style="thin">
        <color rgb="FF000000"/>
      </left>
      <right/>
      <top/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23">
    <xf numFmtId="0" fontId="0" fillId="0" borderId="0" xfId="0" applyFont="1" applyAlignment="1"/>
    <xf numFmtId="0" fontId="5" fillId="0" borderId="8" xfId="0" applyFont="1" applyBorder="1" applyAlignment="1">
      <alignment horizontal="center"/>
    </xf>
    <xf numFmtId="0" fontId="6" fillId="0" borderId="8" xfId="0" applyFont="1" applyBorder="1"/>
    <xf numFmtId="0" fontId="6" fillId="5" borderId="8" xfId="0" applyFont="1" applyFill="1" applyBorder="1"/>
    <xf numFmtId="0" fontId="6" fillId="0" borderId="0" xfId="0" applyFont="1"/>
    <xf numFmtId="0" fontId="6" fillId="4" borderId="11" xfId="0" applyFont="1" applyFill="1" applyBorder="1"/>
    <xf numFmtId="0" fontId="7" fillId="0" borderId="0" xfId="0" applyFont="1"/>
    <xf numFmtId="0" fontId="8" fillId="14" borderId="8" xfId="0" applyFont="1" applyFill="1" applyBorder="1" applyAlignment="1">
      <alignment horizontal="center" vertical="center"/>
    </xf>
    <xf numFmtId="0" fontId="6" fillId="5" borderId="9" xfId="0" applyFont="1" applyFill="1" applyBorder="1"/>
    <xf numFmtId="0" fontId="5" fillId="5" borderId="15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9" fillId="17" borderId="42" xfId="0" applyFont="1" applyFill="1" applyBorder="1" applyAlignment="1"/>
    <xf numFmtId="0" fontId="9" fillId="17" borderId="43" xfId="0" applyFont="1" applyFill="1" applyBorder="1" applyAlignment="1"/>
    <xf numFmtId="0" fontId="9" fillId="17" borderId="44" xfId="0" applyFont="1" applyFill="1" applyBorder="1" applyAlignment="1"/>
    <xf numFmtId="0" fontId="12" fillId="15" borderId="50" xfId="0" applyFont="1" applyFill="1" applyBorder="1" applyAlignment="1">
      <alignment horizontal="center"/>
    </xf>
    <xf numFmtId="0" fontId="12" fillId="15" borderId="51" xfId="0" applyFont="1" applyFill="1" applyBorder="1" applyAlignment="1">
      <alignment horizontal="center"/>
    </xf>
    <xf numFmtId="0" fontId="12" fillId="15" borderId="52" xfId="0" applyFont="1" applyFill="1" applyBorder="1" applyAlignment="1">
      <alignment horizontal="center"/>
    </xf>
    <xf numFmtId="0" fontId="5" fillId="5" borderId="5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vertical="center"/>
    </xf>
    <xf numFmtId="0" fontId="13" fillId="19" borderId="57" xfId="0" applyFont="1" applyFill="1" applyBorder="1" applyAlignment="1">
      <alignment horizontal="center"/>
    </xf>
    <xf numFmtId="0" fontId="2" fillId="0" borderId="0" xfId="0" applyFont="1" applyAlignment="1"/>
    <xf numFmtId="0" fontId="19" fillId="0" borderId="55" xfId="0" applyFont="1" applyFill="1" applyBorder="1" applyAlignment="1">
      <alignment horizontal="center" vertical="center"/>
    </xf>
    <xf numFmtId="0" fontId="3" fillId="0" borderId="56" xfId="0" applyFont="1" applyFill="1" applyBorder="1" applyAlignment="1">
      <alignment vertical="center"/>
    </xf>
    <xf numFmtId="0" fontId="21" fillId="2" borderId="62" xfId="0" applyFont="1" applyFill="1" applyBorder="1" applyAlignment="1">
      <alignment horizontal="center" wrapText="1"/>
    </xf>
    <xf numFmtId="0" fontId="13" fillId="3" borderId="25" xfId="0" applyFont="1" applyFill="1" applyBorder="1" applyAlignment="1">
      <alignment horizontal="center" wrapText="1"/>
    </xf>
    <xf numFmtId="0" fontId="19" fillId="0" borderId="34" xfId="0" applyFont="1" applyFill="1" applyBorder="1" applyAlignment="1">
      <alignment horizontal="center"/>
    </xf>
    <xf numFmtId="0" fontId="1" fillId="0" borderId="0" xfId="0" applyFont="1" applyAlignment="1"/>
    <xf numFmtId="0" fontId="0" fillId="0" borderId="0" xfId="0" applyFont="1" applyAlignment="1">
      <alignment horizontal="center"/>
    </xf>
    <xf numFmtId="0" fontId="9" fillId="19" borderId="60" xfId="0" applyFont="1" applyFill="1" applyBorder="1" applyAlignment="1">
      <alignment horizontal="center"/>
    </xf>
    <xf numFmtId="0" fontId="9" fillId="19" borderId="61" xfId="0" applyFont="1" applyFill="1" applyBorder="1" applyAlignment="1">
      <alignment horizontal="center"/>
    </xf>
    <xf numFmtId="0" fontId="23" fillId="0" borderId="11" xfId="0" applyFont="1" applyFill="1" applyBorder="1" applyAlignment="1" applyProtection="1">
      <protection locked="0"/>
    </xf>
    <xf numFmtId="0" fontId="20" fillId="24" borderId="25" xfId="0" applyFont="1" applyFill="1" applyBorder="1" applyAlignment="1">
      <alignment horizontal="center" wrapText="1"/>
    </xf>
    <xf numFmtId="0" fontId="9" fillId="22" borderId="42" xfId="0" applyFont="1" applyFill="1" applyBorder="1" applyAlignment="1"/>
    <xf numFmtId="0" fontId="9" fillId="22" borderId="43" xfId="0" applyFont="1" applyFill="1" applyBorder="1" applyAlignment="1"/>
    <xf numFmtId="0" fontId="9" fillId="22" borderId="44" xfId="0" applyFont="1" applyFill="1" applyBorder="1" applyAlignment="1"/>
    <xf numFmtId="0" fontId="20" fillId="25" borderId="9" xfId="0" applyFont="1" applyFill="1" applyBorder="1"/>
    <xf numFmtId="0" fontId="20" fillId="25" borderId="8" xfId="0" applyFont="1" applyFill="1" applyBorder="1"/>
    <xf numFmtId="164" fontId="19" fillId="26" borderId="9" xfId="0" applyNumberFormat="1" applyFont="1" applyFill="1" applyBorder="1"/>
    <xf numFmtId="164" fontId="19" fillId="26" borderId="8" xfId="0" applyNumberFormat="1" applyFont="1" applyFill="1" applyBorder="1"/>
    <xf numFmtId="164" fontId="19" fillId="28" borderId="9" xfId="0" applyNumberFormat="1" applyFont="1" applyFill="1" applyBorder="1"/>
    <xf numFmtId="164" fontId="19" fillId="28" borderId="8" xfId="0" applyNumberFormat="1" applyFont="1" applyFill="1" applyBorder="1"/>
    <xf numFmtId="164" fontId="20" fillId="29" borderId="9" xfId="0" applyNumberFormat="1" applyFont="1" applyFill="1" applyBorder="1" applyAlignment="1">
      <alignment horizontal="center" vertical="center"/>
    </xf>
    <xf numFmtId="0" fontId="6" fillId="0" borderId="11" xfId="0" applyFont="1" applyFill="1" applyBorder="1"/>
    <xf numFmtId="0" fontId="0" fillId="0" borderId="0" xfId="0" applyFont="1" applyFill="1" applyAlignment="1"/>
    <xf numFmtId="0" fontId="13" fillId="19" borderId="58" xfId="0" applyFont="1" applyFill="1" applyBorder="1" applyProtection="1">
      <protection locked="0"/>
    </xf>
    <xf numFmtId="0" fontId="6" fillId="5" borderId="12" xfId="0" applyFont="1" applyFill="1" applyBorder="1" applyProtection="1">
      <protection locked="0"/>
    </xf>
    <xf numFmtId="0" fontId="6" fillId="5" borderId="9" xfId="0" applyFont="1" applyFill="1" applyBorder="1" applyProtection="1">
      <protection locked="0"/>
    </xf>
    <xf numFmtId="0" fontId="6" fillId="6" borderId="9" xfId="0" applyFont="1" applyFill="1" applyBorder="1" applyProtection="1">
      <protection locked="0"/>
    </xf>
    <xf numFmtId="0" fontId="13" fillId="19" borderId="59" xfId="0" applyFont="1" applyFill="1" applyBorder="1" applyProtection="1">
      <protection locked="0"/>
    </xf>
    <xf numFmtId="0" fontId="6" fillId="5" borderId="3" xfId="0" applyFont="1" applyFill="1" applyBorder="1" applyProtection="1">
      <protection locked="0"/>
    </xf>
    <xf numFmtId="0" fontId="6" fillId="5" borderId="8" xfId="0" applyFont="1" applyFill="1" applyBorder="1" applyProtection="1">
      <protection locked="0"/>
    </xf>
    <xf numFmtId="0" fontId="6" fillId="6" borderId="8" xfId="0" applyFont="1" applyFill="1" applyBorder="1" applyProtection="1">
      <protection locked="0"/>
    </xf>
    <xf numFmtId="0" fontId="6" fillId="7" borderId="9" xfId="0" applyFont="1" applyFill="1" applyBorder="1" applyProtection="1">
      <protection locked="0"/>
    </xf>
    <xf numFmtId="0" fontId="6" fillId="8" borderId="9" xfId="0" applyFont="1" applyFill="1" applyBorder="1" applyProtection="1">
      <protection locked="0"/>
    </xf>
    <xf numFmtId="0" fontId="6" fillId="7" borderId="8" xfId="0" applyFont="1" applyFill="1" applyBorder="1" applyProtection="1">
      <protection locked="0"/>
    </xf>
    <xf numFmtId="0" fontId="6" fillId="8" borderId="8" xfId="0" applyFont="1" applyFill="1" applyBorder="1" applyProtection="1">
      <protection locked="0"/>
    </xf>
    <xf numFmtId="0" fontId="6" fillId="9" borderId="9" xfId="0" applyFont="1" applyFill="1" applyBorder="1" applyProtection="1">
      <protection locked="0"/>
    </xf>
    <xf numFmtId="0" fontId="6" fillId="10" borderId="9" xfId="0" applyFont="1" applyFill="1" applyBorder="1" applyProtection="1">
      <protection locked="0"/>
    </xf>
    <xf numFmtId="0" fontId="6" fillId="9" borderId="8" xfId="0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164" fontId="6" fillId="18" borderId="9" xfId="0" applyNumberFormat="1" applyFont="1" applyFill="1" applyBorder="1" applyProtection="1">
      <protection locked="0"/>
    </xf>
    <xf numFmtId="164" fontId="6" fillId="18" borderId="8" xfId="0" applyNumberFormat="1" applyFont="1" applyFill="1" applyBorder="1" applyProtection="1">
      <protection locked="0"/>
    </xf>
    <xf numFmtId="164" fontId="19" fillId="30" borderId="9" xfId="0" applyNumberFormat="1" applyFont="1" applyFill="1" applyBorder="1"/>
    <xf numFmtId="164" fontId="19" fillId="30" borderId="8" xfId="0" applyNumberFormat="1" applyFont="1" applyFill="1" applyBorder="1"/>
    <xf numFmtId="0" fontId="13" fillId="19" borderId="58" xfId="0" applyFont="1" applyFill="1" applyBorder="1" applyProtection="1"/>
    <xf numFmtId="0" fontId="22" fillId="21" borderId="11" xfId="0" applyFont="1" applyFill="1" applyBorder="1" applyAlignment="1">
      <alignment horizontal="right"/>
    </xf>
    <xf numFmtId="0" fontId="0" fillId="20" borderId="70" xfId="0" applyFont="1" applyFill="1" applyBorder="1" applyAlignment="1"/>
    <xf numFmtId="0" fontId="0" fillId="20" borderId="71" xfId="0" applyFont="1" applyFill="1" applyBorder="1" applyAlignment="1"/>
    <xf numFmtId="0" fontId="0" fillId="20" borderId="72" xfId="0" applyFont="1" applyFill="1" applyBorder="1" applyAlignment="1"/>
    <xf numFmtId="0" fontId="22" fillId="21" borderId="73" xfId="0" applyFont="1" applyFill="1" applyBorder="1" applyAlignment="1">
      <alignment horizontal="right"/>
    </xf>
    <xf numFmtId="0" fontId="22" fillId="21" borderId="73" xfId="0" applyFont="1" applyFill="1" applyBorder="1" applyAlignment="1"/>
    <xf numFmtId="0" fontId="0" fillId="20" borderId="75" xfId="0" applyFont="1" applyFill="1" applyBorder="1" applyAlignment="1"/>
    <xf numFmtId="0" fontId="23" fillId="20" borderId="76" xfId="0" applyFont="1" applyFill="1" applyBorder="1" applyAlignment="1"/>
    <xf numFmtId="0" fontId="0" fillId="20" borderId="76" xfId="0" applyFont="1" applyFill="1" applyBorder="1" applyAlignment="1"/>
    <xf numFmtId="0" fontId="23" fillId="20" borderId="76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9" xfId="0" applyFont="1" applyBorder="1"/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27" fillId="0" borderId="9" xfId="0" applyNumberFormat="1" applyFont="1" applyFill="1" applyBorder="1" applyAlignment="1">
      <alignment horizontal="center" vertical="center"/>
    </xf>
    <xf numFmtId="164" fontId="27" fillId="0" borderId="8" xfId="0" applyNumberFormat="1" applyFont="1" applyFill="1" applyBorder="1" applyAlignment="1">
      <alignment horizontal="center" vertical="center"/>
    </xf>
    <xf numFmtId="0" fontId="27" fillId="0" borderId="9" xfId="0" applyFont="1" applyFill="1" applyBorder="1" applyAlignment="1" applyProtection="1">
      <alignment horizontal="center" vertical="center"/>
      <protection locked="0"/>
    </xf>
    <xf numFmtId="0" fontId="27" fillId="0" borderId="8" xfId="0" applyFont="1" applyFill="1" applyBorder="1" applyAlignment="1" applyProtection="1">
      <alignment horizontal="center" vertical="center"/>
      <protection locked="0"/>
    </xf>
    <xf numFmtId="0" fontId="10" fillId="19" borderId="84" xfId="0" applyFont="1" applyFill="1" applyBorder="1"/>
    <xf numFmtId="0" fontId="10" fillId="19" borderId="85" xfId="0" applyFont="1" applyFill="1" applyBorder="1"/>
    <xf numFmtId="0" fontId="10" fillId="19" borderId="87" xfId="0" applyFont="1" applyFill="1" applyBorder="1" applyAlignment="1">
      <alignment horizontal="center" vertical="center"/>
    </xf>
    <xf numFmtId="164" fontId="27" fillId="0" borderId="10" xfId="0" applyNumberFormat="1" applyFont="1" applyFill="1" applyBorder="1" applyAlignment="1">
      <alignment horizontal="center" vertical="center"/>
    </xf>
    <xf numFmtId="164" fontId="27" fillId="0" borderId="1" xfId="0" applyNumberFormat="1" applyFont="1" applyFill="1" applyBorder="1" applyAlignment="1">
      <alignment horizontal="center" vertical="center"/>
    </xf>
    <xf numFmtId="0" fontId="1" fillId="0" borderId="88" xfId="0" applyFont="1" applyBorder="1" applyAlignment="1">
      <alignment horizontal="center"/>
    </xf>
    <xf numFmtId="0" fontId="1" fillId="0" borderId="89" xfId="0" applyFont="1" applyBorder="1" applyAlignment="1"/>
    <xf numFmtId="0" fontId="0" fillId="0" borderId="89" xfId="0" applyFont="1" applyBorder="1" applyAlignment="1"/>
    <xf numFmtId="0" fontId="19" fillId="0" borderId="8" xfId="0" applyFont="1" applyBorder="1" applyAlignment="1">
      <alignment horizontal="center"/>
    </xf>
    <xf numFmtId="0" fontId="13" fillId="14" borderId="8" xfId="0" applyFont="1" applyFill="1" applyBorder="1" applyAlignment="1">
      <alignment horizontal="center" vertical="center"/>
    </xf>
    <xf numFmtId="0" fontId="23" fillId="0" borderId="11" xfId="0" applyFont="1" applyFill="1" applyBorder="1" applyAlignment="1" applyProtection="1"/>
    <xf numFmtId="0" fontId="22" fillId="21" borderId="11" xfId="0" applyFont="1" applyFill="1" applyBorder="1" applyAlignment="1" applyProtection="1">
      <alignment horizontal="right"/>
    </xf>
    <xf numFmtId="0" fontId="23" fillId="0" borderId="11" xfId="0" applyFont="1" applyFill="1" applyBorder="1" applyAlignment="1" applyProtection="1">
      <alignment horizontal="center"/>
    </xf>
    <xf numFmtId="49" fontId="16" fillId="0" borderId="11" xfId="0" applyNumberFormat="1" applyFont="1" applyFill="1" applyBorder="1" applyAlignment="1" applyProtection="1">
      <alignment horizontal="center"/>
    </xf>
    <xf numFmtId="0" fontId="1" fillId="21" borderId="11" xfId="0" applyFont="1" applyFill="1" applyBorder="1" applyAlignment="1" applyProtection="1">
      <alignment horizontal="center"/>
    </xf>
    <xf numFmtId="0" fontId="1" fillId="21" borderId="74" xfId="0" applyFont="1" applyFill="1" applyBorder="1" applyAlignment="1" applyProtection="1">
      <alignment horizontal="center"/>
    </xf>
    <xf numFmtId="0" fontId="23" fillId="0" borderId="11" xfId="0" applyFont="1" applyFill="1" applyBorder="1" applyAlignment="1" applyProtection="1">
      <alignment horizontal="center"/>
      <protection locked="0"/>
    </xf>
    <xf numFmtId="49" fontId="16" fillId="0" borderId="11" xfId="0" applyNumberFormat="1" applyFont="1" applyFill="1" applyBorder="1" applyAlignment="1" applyProtection="1">
      <alignment horizontal="center"/>
      <protection locked="0"/>
    </xf>
    <xf numFmtId="0" fontId="15" fillId="0" borderId="11" xfId="0" applyFont="1" applyBorder="1" applyAlignment="1"/>
    <xf numFmtId="0" fontId="15" fillId="0" borderId="11" xfId="0" applyFont="1" applyBorder="1" applyAlignment="1">
      <alignment horizontal="center"/>
    </xf>
    <xf numFmtId="0" fontId="17" fillId="0" borderId="11" xfId="0" applyFont="1" applyBorder="1" applyAlignment="1"/>
    <xf numFmtId="9" fontId="17" fillId="0" borderId="11" xfId="1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9" fillId="13" borderId="9" xfId="0" applyFont="1" applyFill="1" applyBorder="1" applyAlignment="1">
      <alignment horizontal="center" vertical="center"/>
    </xf>
    <xf numFmtId="0" fontId="1" fillId="20" borderId="76" xfId="0" applyFont="1" applyFill="1" applyBorder="1" applyAlignment="1">
      <alignment horizontal="center"/>
    </xf>
    <xf numFmtId="0" fontId="1" fillId="21" borderId="11" xfId="0" applyFont="1" applyFill="1" applyBorder="1" applyAlignment="1">
      <alignment horizontal="center"/>
    </xf>
    <xf numFmtId="0" fontId="1" fillId="21" borderId="74" xfId="0" applyFont="1" applyFill="1" applyBorder="1" applyAlignment="1">
      <alignment horizontal="center"/>
    </xf>
    <xf numFmtId="0" fontId="1" fillId="20" borderId="77" xfId="0" applyFont="1" applyFill="1" applyBorder="1" applyAlignment="1">
      <alignment horizontal="center"/>
    </xf>
    <xf numFmtId="0" fontId="23" fillId="0" borderId="11" xfId="0" applyFont="1" applyFill="1" applyBorder="1" applyAlignment="1" applyProtection="1">
      <alignment horizontal="left"/>
      <protection locked="0"/>
    </xf>
    <xf numFmtId="0" fontId="23" fillId="0" borderId="74" xfId="0" applyFont="1" applyFill="1" applyBorder="1" applyAlignment="1" applyProtection="1">
      <alignment horizontal="left"/>
      <protection locked="0"/>
    </xf>
    <xf numFmtId="0" fontId="29" fillId="20" borderId="64" xfId="2" applyFont="1" applyFill="1" applyBorder="1" applyAlignment="1">
      <alignment horizontal="center" vertical="center"/>
    </xf>
    <xf numFmtId="0" fontId="29" fillId="20" borderId="65" xfId="2" applyFont="1" applyFill="1" applyBorder="1" applyAlignment="1">
      <alignment horizontal="center" vertical="center"/>
    </xf>
    <xf numFmtId="0" fontId="29" fillId="20" borderId="66" xfId="2" applyFont="1" applyFill="1" applyBorder="1" applyAlignment="1">
      <alignment horizontal="center" vertical="center"/>
    </xf>
    <xf numFmtId="0" fontId="29" fillId="20" borderId="67" xfId="2" applyFont="1" applyFill="1" applyBorder="1" applyAlignment="1">
      <alignment horizontal="center" vertical="center"/>
    </xf>
    <xf numFmtId="0" fontId="10" fillId="16" borderId="45" xfId="0" applyFont="1" applyFill="1" applyBorder="1" applyAlignment="1" applyProtection="1">
      <alignment horizontal="justify" vertical="justify" wrapText="1"/>
      <protection locked="0"/>
    </xf>
    <xf numFmtId="0" fontId="4" fillId="16" borderId="31" xfId="0" applyFont="1" applyFill="1" applyBorder="1" applyAlignment="1" applyProtection="1">
      <alignment horizontal="justify" vertical="justify" wrapText="1"/>
      <protection locked="0"/>
    </xf>
    <xf numFmtId="0" fontId="4" fillId="16" borderId="33" xfId="0" applyFont="1" applyFill="1" applyBorder="1" applyAlignment="1" applyProtection="1">
      <alignment horizontal="justify" vertical="justify" wrapText="1"/>
      <protection locked="0"/>
    </xf>
    <xf numFmtId="0" fontId="10" fillId="18" borderId="30" xfId="0" applyFont="1" applyFill="1" applyBorder="1" applyAlignment="1" applyProtection="1">
      <alignment horizontal="left"/>
      <protection locked="0"/>
    </xf>
    <xf numFmtId="0" fontId="4" fillId="18" borderId="31" xfId="0" applyFont="1" applyFill="1" applyBorder="1" applyAlignment="1" applyProtection="1">
      <alignment horizontal="left"/>
      <protection locked="0"/>
    </xf>
    <xf numFmtId="0" fontId="4" fillId="18" borderId="32" xfId="0" applyFont="1" applyFill="1" applyBorder="1" applyAlignment="1" applyProtection="1">
      <alignment horizontal="left"/>
      <protection locked="0"/>
    </xf>
    <xf numFmtId="0" fontId="4" fillId="23" borderId="40" xfId="0" applyFont="1" applyFill="1" applyBorder="1" applyAlignment="1" applyProtection="1">
      <alignment horizontal="center"/>
      <protection locked="0"/>
    </xf>
    <xf numFmtId="0" fontId="4" fillId="23" borderId="41" xfId="0" applyFont="1" applyFill="1" applyBorder="1" applyAlignment="1" applyProtection="1">
      <alignment horizontal="center"/>
      <protection locked="0"/>
    </xf>
    <xf numFmtId="0" fontId="5" fillId="5" borderId="53" xfId="0" applyFont="1" applyFill="1" applyBorder="1" applyAlignment="1">
      <alignment horizontal="center" vertical="center"/>
    </xf>
    <xf numFmtId="0" fontId="4" fillId="0" borderId="12" xfId="0" applyFont="1" applyBorder="1"/>
    <xf numFmtId="0" fontId="5" fillId="6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20" fillId="25" borderId="14" xfId="0" applyFont="1" applyFill="1" applyBorder="1" applyAlignment="1">
      <alignment horizontal="center" vertical="center"/>
    </xf>
    <xf numFmtId="0" fontId="20" fillId="15" borderId="18" xfId="0" applyFont="1" applyFill="1" applyBorder="1" applyAlignment="1">
      <alignment vertical="center"/>
    </xf>
    <xf numFmtId="0" fontId="5" fillId="8" borderId="6" xfId="0" applyFont="1" applyFill="1" applyBorder="1" applyAlignment="1">
      <alignment horizontal="center" vertical="center"/>
    </xf>
    <xf numFmtId="0" fontId="4" fillId="0" borderId="16" xfId="0" applyFont="1" applyBorder="1"/>
    <xf numFmtId="0" fontId="5" fillId="7" borderId="6" xfId="0" applyFont="1" applyFill="1" applyBorder="1" applyAlignment="1">
      <alignment horizontal="center" vertical="center"/>
    </xf>
    <xf numFmtId="0" fontId="19" fillId="26" borderId="6" xfId="0" applyFont="1" applyFill="1" applyBorder="1" applyAlignment="1">
      <alignment horizontal="center" vertical="center" textRotation="1"/>
    </xf>
    <xf numFmtId="0" fontId="20" fillId="17" borderId="16" xfId="0" applyFont="1" applyFill="1" applyBorder="1" applyAlignment="1">
      <alignment horizontal="center" textRotation="1"/>
    </xf>
    <xf numFmtId="0" fontId="5" fillId="10" borderId="6" xfId="0" applyFont="1" applyFill="1" applyBorder="1" applyAlignment="1">
      <alignment horizontal="center" vertical="center"/>
    </xf>
    <xf numFmtId="0" fontId="18" fillId="21" borderId="56" xfId="0" applyFont="1" applyFill="1" applyBorder="1" applyAlignment="1">
      <alignment horizontal="center" vertical="center"/>
    </xf>
    <xf numFmtId="0" fontId="18" fillId="21" borderId="34" xfId="0" applyFont="1" applyFill="1" applyBorder="1" applyAlignment="1">
      <alignment horizontal="center" vertical="center"/>
    </xf>
    <xf numFmtId="0" fontId="10" fillId="16" borderId="38" xfId="0" applyFont="1" applyFill="1" applyBorder="1" applyAlignment="1" applyProtection="1">
      <alignment horizontal="justify" vertical="justify" wrapText="1"/>
      <protection locked="0"/>
    </xf>
    <xf numFmtId="0" fontId="4" fillId="16" borderId="24" xfId="0" applyFont="1" applyFill="1" applyBorder="1" applyAlignment="1" applyProtection="1">
      <alignment horizontal="justify" vertical="justify" wrapText="1"/>
      <protection locked="0"/>
    </xf>
    <xf numFmtId="0" fontId="4" fillId="16" borderId="27" xfId="0" applyFont="1" applyFill="1" applyBorder="1" applyAlignment="1" applyProtection="1">
      <alignment horizontal="justify" vertical="justify" wrapText="1"/>
      <protection locked="0"/>
    </xf>
    <xf numFmtId="0" fontId="10" fillId="18" borderId="28" xfId="0" applyFont="1" applyFill="1" applyBorder="1" applyAlignment="1" applyProtection="1">
      <alignment horizontal="left"/>
      <protection locked="0"/>
    </xf>
    <xf numFmtId="0" fontId="4" fillId="18" borderId="24" xfId="0" applyFont="1" applyFill="1" applyBorder="1" applyAlignment="1" applyProtection="1">
      <alignment horizontal="left"/>
      <protection locked="0"/>
    </xf>
    <xf numFmtId="0" fontId="4" fillId="18" borderId="29" xfId="0" applyFont="1" applyFill="1" applyBorder="1" applyAlignment="1" applyProtection="1">
      <alignment horizontal="left"/>
      <protection locked="0"/>
    </xf>
    <xf numFmtId="0" fontId="4" fillId="23" borderId="23" xfId="0" applyFont="1" applyFill="1" applyBorder="1" applyAlignment="1" applyProtection="1">
      <alignment horizontal="center"/>
      <protection locked="0"/>
    </xf>
    <xf numFmtId="0" fontId="4" fillId="23" borderId="39" xfId="0" applyFont="1" applyFill="1" applyBorder="1" applyAlignment="1" applyProtection="1">
      <alignment horizontal="center"/>
      <protection locked="0"/>
    </xf>
    <xf numFmtId="0" fontId="13" fillId="21" borderId="68" xfId="0" applyFont="1" applyFill="1" applyBorder="1" applyAlignment="1">
      <alignment horizontal="center"/>
    </xf>
    <xf numFmtId="0" fontId="13" fillId="21" borderId="69" xfId="0" applyFont="1" applyFill="1" applyBorder="1" applyAlignment="1">
      <alignment horizontal="center"/>
    </xf>
    <xf numFmtId="0" fontId="10" fillId="16" borderId="49" xfId="0" applyFont="1" applyFill="1" applyBorder="1" applyAlignment="1" applyProtection="1">
      <alignment horizontal="justify" vertical="justify" wrapText="1"/>
      <protection locked="0"/>
    </xf>
    <xf numFmtId="0" fontId="4" fillId="16" borderId="47" xfId="0" applyFont="1" applyFill="1" applyBorder="1" applyAlignment="1" applyProtection="1">
      <alignment horizontal="justify" vertical="justify" wrapText="1"/>
      <protection locked="0"/>
    </xf>
    <xf numFmtId="0" fontId="4" fillId="16" borderId="48" xfId="0" applyFont="1" applyFill="1" applyBorder="1" applyAlignment="1" applyProtection="1">
      <alignment horizontal="justify" vertical="justify" wrapText="1"/>
      <protection locked="0"/>
    </xf>
    <xf numFmtId="0" fontId="10" fillId="18" borderId="46" xfId="0" applyFont="1" applyFill="1" applyBorder="1" applyAlignment="1" applyProtection="1">
      <alignment horizontal="left"/>
      <protection locked="0"/>
    </xf>
    <xf numFmtId="0" fontId="4" fillId="18" borderId="35" xfId="0" applyFont="1" applyFill="1" applyBorder="1" applyAlignment="1" applyProtection="1">
      <alignment horizontal="left"/>
      <protection locked="0"/>
    </xf>
    <xf numFmtId="0" fontId="4" fillId="18" borderId="36" xfId="0" applyFont="1" applyFill="1" applyBorder="1" applyAlignment="1" applyProtection="1">
      <alignment horizontal="left"/>
      <protection locked="0"/>
    </xf>
    <xf numFmtId="0" fontId="4" fillId="23" borderId="11" xfId="0" applyFont="1" applyFill="1" applyBorder="1" applyAlignment="1" applyProtection="1">
      <alignment horizontal="center"/>
      <protection locked="0"/>
    </xf>
    <xf numFmtId="0" fontId="4" fillId="23" borderId="34" xfId="0" applyFont="1" applyFill="1" applyBorder="1" applyAlignment="1" applyProtection="1">
      <alignment horizontal="center"/>
      <protection locked="0"/>
    </xf>
    <xf numFmtId="0" fontId="13" fillId="30" borderId="36" xfId="0" applyFont="1" applyFill="1" applyBorder="1" applyAlignment="1">
      <alignment horizontal="center" vertical="center" textRotation="90"/>
    </xf>
    <xf numFmtId="0" fontId="5" fillId="30" borderId="63" xfId="0" applyFont="1" applyFill="1" applyBorder="1" applyAlignment="1">
      <alignment horizontal="center" vertical="center" textRotation="90"/>
    </xf>
    <xf numFmtId="0" fontId="5" fillId="30" borderId="29" xfId="0" applyFont="1" applyFill="1" applyBorder="1" applyAlignment="1">
      <alignment horizontal="center" vertical="center" textRotation="90"/>
    </xf>
    <xf numFmtId="0" fontId="5" fillId="30" borderId="32" xfId="0" applyFont="1" applyFill="1" applyBorder="1" applyAlignment="1">
      <alignment horizontal="center" vertical="center" textRotation="90"/>
    </xf>
    <xf numFmtId="0" fontId="9" fillId="15" borderId="19" xfId="0" applyFont="1" applyFill="1" applyBorder="1" applyAlignment="1">
      <alignment horizontal="center"/>
    </xf>
    <xf numFmtId="0" fontId="9" fillId="15" borderId="21" xfId="0" applyFont="1" applyFill="1" applyBorder="1" applyAlignment="1">
      <alignment horizontal="center"/>
    </xf>
    <xf numFmtId="0" fontId="9" fillId="15" borderId="20" xfId="0" applyFont="1" applyFill="1" applyBorder="1" applyAlignment="1">
      <alignment horizontal="center"/>
    </xf>
    <xf numFmtId="0" fontId="9" fillId="17" borderId="19" xfId="0" applyFont="1" applyFill="1" applyBorder="1" applyAlignment="1">
      <alignment horizontal="center"/>
    </xf>
    <xf numFmtId="0" fontId="9" fillId="17" borderId="21" xfId="0" applyFont="1" applyFill="1" applyBorder="1" applyAlignment="1">
      <alignment horizontal="center"/>
    </xf>
    <xf numFmtId="0" fontId="9" fillId="17" borderId="20" xfId="0" applyFont="1" applyFill="1" applyBorder="1" applyAlignment="1">
      <alignment horizontal="center"/>
    </xf>
    <xf numFmtId="0" fontId="9" fillId="22" borderId="19" xfId="0" applyFont="1" applyFill="1" applyBorder="1" applyAlignment="1">
      <alignment horizontal="center"/>
    </xf>
    <xf numFmtId="0" fontId="9" fillId="22" borderId="21" xfId="0" applyFont="1" applyFill="1" applyBorder="1" applyAlignment="1">
      <alignment horizontal="center"/>
    </xf>
    <xf numFmtId="0" fontId="9" fillId="22" borderId="20" xfId="0" applyFont="1" applyFill="1" applyBorder="1" applyAlignment="1">
      <alignment horizontal="center"/>
    </xf>
    <xf numFmtId="0" fontId="5" fillId="7" borderId="26" xfId="0" applyFont="1" applyFill="1" applyBorder="1" applyAlignment="1">
      <alignment horizontal="center" vertical="center"/>
    </xf>
    <xf numFmtId="0" fontId="4" fillId="0" borderId="22" xfId="0" applyFont="1" applyBorder="1"/>
    <xf numFmtId="0" fontId="25" fillId="2" borderId="21" xfId="0" applyFont="1" applyFill="1" applyBorder="1" applyAlignment="1">
      <alignment horizontal="center" vertical="center" wrapText="1"/>
    </xf>
    <xf numFmtId="0" fontId="26" fillId="0" borderId="21" xfId="0" applyFont="1" applyBorder="1" applyAlignment="1">
      <alignment vertical="center"/>
    </xf>
    <xf numFmtId="0" fontId="26" fillId="0" borderId="20" xfId="0" applyFont="1" applyBorder="1" applyAlignment="1">
      <alignment vertical="center"/>
    </xf>
    <xf numFmtId="0" fontId="24" fillId="3" borderId="19" xfId="0" applyFont="1" applyFill="1" applyBorder="1" applyAlignment="1">
      <alignment horizontal="center" vertical="center" wrapText="1"/>
    </xf>
    <xf numFmtId="0" fontId="25" fillId="24" borderId="25" xfId="0" applyFont="1" applyFill="1" applyBorder="1" applyAlignment="1">
      <alignment horizontal="center" vertical="center" wrapText="1"/>
    </xf>
    <xf numFmtId="0" fontId="26" fillId="22" borderId="62" xfId="0" applyFont="1" applyFill="1" applyBorder="1" applyAlignment="1">
      <alignment vertical="center"/>
    </xf>
    <xf numFmtId="0" fontId="26" fillId="22" borderId="55" xfId="0" applyFont="1" applyFill="1" applyBorder="1" applyAlignment="1">
      <alignment vertical="center"/>
    </xf>
    <xf numFmtId="0" fontId="20" fillId="29" borderId="37" xfId="0" applyFont="1" applyFill="1" applyBorder="1" applyAlignment="1">
      <alignment horizontal="center" vertical="center" textRotation="90"/>
    </xf>
    <xf numFmtId="0" fontId="20" fillId="29" borderId="49" xfId="0" applyFont="1" applyFill="1" applyBorder="1" applyAlignment="1">
      <alignment horizontal="center" vertical="center" textRotation="90"/>
    </xf>
    <xf numFmtId="0" fontId="20" fillId="29" borderId="38" xfId="0" applyFont="1" applyFill="1" applyBorder="1" applyAlignment="1">
      <alignment horizontal="center" vertical="center" textRotation="90"/>
    </xf>
    <xf numFmtId="0" fontId="20" fillId="29" borderId="24" xfId="0" applyFont="1" applyFill="1" applyBorder="1" applyAlignment="1">
      <alignment horizontal="center" vertical="center" textRotation="90"/>
    </xf>
    <xf numFmtId="0" fontId="20" fillId="29" borderId="31" xfId="0" applyFont="1" applyFill="1" applyBorder="1" applyAlignment="1">
      <alignment horizontal="center" vertical="center" textRotation="90"/>
    </xf>
    <xf numFmtId="0" fontId="5" fillId="18" borderId="35" xfId="0" applyFont="1" applyFill="1" applyBorder="1" applyAlignment="1">
      <alignment horizontal="center" vertical="center" textRotation="90"/>
    </xf>
    <xf numFmtId="0" fontId="5" fillId="18" borderId="47" xfId="0" applyFont="1" applyFill="1" applyBorder="1" applyAlignment="1">
      <alignment horizontal="center" vertical="center" textRotation="90"/>
    </xf>
    <xf numFmtId="0" fontId="5" fillId="18" borderId="24" xfId="0" applyFont="1" applyFill="1" applyBorder="1" applyAlignment="1">
      <alignment horizontal="center" vertical="center" textRotation="90"/>
    </xf>
    <xf numFmtId="0" fontId="5" fillId="18" borderId="31" xfId="0" applyFont="1" applyFill="1" applyBorder="1" applyAlignment="1">
      <alignment horizontal="center" vertical="center" textRotation="90"/>
    </xf>
    <xf numFmtId="0" fontId="5" fillId="9" borderId="6" xfId="0" applyFont="1" applyFill="1" applyBorder="1" applyAlignment="1">
      <alignment horizontal="center" vertical="center"/>
    </xf>
    <xf numFmtId="0" fontId="19" fillId="28" borderId="13" xfId="0" applyFont="1" applyFill="1" applyBorder="1" applyAlignment="1">
      <alignment horizontal="center" vertical="center" textRotation="93"/>
    </xf>
    <xf numFmtId="0" fontId="20" fillId="27" borderId="17" xfId="0" applyFont="1" applyFill="1" applyBorder="1" applyAlignment="1">
      <alignment textRotation="93"/>
    </xf>
    <xf numFmtId="0" fontId="10" fillId="23" borderId="11" xfId="0" applyFont="1" applyFill="1" applyBorder="1" applyAlignment="1" applyProtection="1">
      <alignment horizontal="center"/>
      <protection locked="0"/>
    </xf>
    <xf numFmtId="0" fontId="5" fillId="11" borderId="4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  <xf numFmtId="0" fontId="5" fillId="33" borderId="80" xfId="0" applyFont="1" applyFill="1" applyBorder="1" applyAlignment="1">
      <alignment horizontal="center" vertical="center" wrapText="1"/>
    </xf>
    <xf numFmtId="0" fontId="4" fillId="19" borderId="6" xfId="0" applyFont="1" applyFill="1" applyBorder="1" applyAlignment="1">
      <alignment horizontal="center" vertical="center"/>
    </xf>
    <xf numFmtId="0" fontId="4" fillId="19" borderId="85" xfId="0" applyFont="1" applyFill="1" applyBorder="1" applyAlignment="1">
      <alignment horizontal="center" vertical="center"/>
    </xf>
    <xf numFmtId="0" fontId="5" fillId="19" borderId="81" xfId="0" applyFont="1" applyFill="1" applyBorder="1" applyAlignment="1">
      <alignment horizontal="center" vertical="center" wrapText="1"/>
    </xf>
    <xf numFmtId="0" fontId="4" fillId="19" borderId="83" xfId="0" applyFont="1" applyFill="1" applyBorder="1" applyAlignment="1">
      <alignment horizontal="center" vertical="center"/>
    </xf>
    <xf numFmtId="0" fontId="4" fillId="19" borderId="86" xfId="0" applyFont="1" applyFill="1" applyBorder="1" applyAlignment="1">
      <alignment horizontal="center" vertical="center"/>
    </xf>
    <xf numFmtId="0" fontId="5" fillId="11" borderId="78" xfId="0" applyFont="1" applyFill="1" applyBorder="1" applyAlignment="1">
      <alignment horizontal="center" vertical="center" wrapText="1"/>
    </xf>
    <xf numFmtId="0" fontId="4" fillId="0" borderId="26" xfId="0" applyFont="1" applyBorder="1"/>
    <xf numFmtId="0" fontId="5" fillId="32" borderId="80" xfId="0" applyFont="1" applyFill="1" applyBorder="1" applyAlignment="1">
      <alignment horizontal="center" vertical="center" wrapText="1"/>
    </xf>
    <xf numFmtId="0" fontId="30" fillId="0" borderId="76" xfId="0" applyFont="1" applyBorder="1" applyAlignment="1">
      <alignment horizontal="center"/>
    </xf>
    <xf numFmtId="0" fontId="13" fillId="19" borderId="79" xfId="0" applyFont="1" applyFill="1" applyBorder="1" applyAlignment="1">
      <alignment horizontal="center" vertical="center"/>
    </xf>
    <xf numFmtId="0" fontId="4" fillId="19" borderId="82" xfId="0" applyFont="1" applyFill="1" applyBorder="1"/>
    <xf numFmtId="0" fontId="4" fillId="19" borderId="84" xfId="0" applyFont="1" applyFill="1" applyBorder="1"/>
    <xf numFmtId="0" fontId="5" fillId="19" borderId="80" xfId="0" applyFont="1" applyFill="1" applyBorder="1" applyAlignment="1">
      <alignment horizontal="center" vertical="center"/>
    </xf>
    <xf numFmtId="0" fontId="4" fillId="19" borderId="6" xfId="0" applyFont="1" applyFill="1" applyBorder="1"/>
    <xf numFmtId="0" fontId="4" fillId="19" borderId="85" xfId="0" applyFont="1" applyFill="1" applyBorder="1"/>
    <xf numFmtId="0" fontId="13" fillId="31" borderId="80" xfId="0" applyFont="1" applyFill="1" applyBorder="1" applyAlignment="1">
      <alignment horizontal="center" vertical="center" wrapText="1"/>
    </xf>
    <xf numFmtId="0" fontId="8" fillId="12" borderId="5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1" fillId="34" borderId="11" xfId="0" applyFont="1" applyFill="1" applyBorder="1" applyAlignment="1">
      <alignment horizontal="center" wrapText="1"/>
    </xf>
    <xf numFmtId="0" fontId="31" fillId="34" borderId="11" xfId="0" applyFont="1" applyFill="1" applyBorder="1" applyAlignment="1">
      <alignment horizontal="center"/>
    </xf>
    <xf numFmtId="0" fontId="31" fillId="34" borderId="53" xfId="0" applyFont="1" applyFill="1" applyBorder="1" applyAlignment="1">
      <alignment horizontal="center"/>
    </xf>
    <xf numFmtId="0" fontId="0" fillId="0" borderId="90" xfId="0" applyFont="1" applyBorder="1" applyAlignment="1">
      <alignment horizontal="center" vertical="center"/>
    </xf>
    <xf numFmtId="0" fontId="0" fillId="0" borderId="91" xfId="0" applyFont="1" applyBorder="1" applyAlignment="1">
      <alignment horizontal="center" vertical="center"/>
    </xf>
    <xf numFmtId="0" fontId="0" fillId="0" borderId="92" xfId="0" applyFont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Porcentaje" xfId="1" builtinId="5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rgb="FF002060"/>
        </left>
        <right/>
        <top style="thin">
          <color rgb="FF002060"/>
        </top>
        <bottom style="thin">
          <color rgb="FF00206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2060"/>
        </right>
      </border>
    </dxf>
    <dxf>
      <font>
        <color theme="0"/>
      </font>
    </dxf>
    <dxf>
      <font>
        <color rgb="FF9C0006"/>
      </font>
      <fill>
        <patternFill patternType="none"/>
      </fill>
    </dxf>
    <dxf>
      <font>
        <color theme="0"/>
      </font>
    </dxf>
    <dxf>
      <font>
        <color theme="8" tint="0.39994506668294322"/>
      </font>
    </dxf>
    <dxf>
      <font>
        <b/>
        <i/>
        <color rgb="FFFF0000"/>
      </font>
    </dxf>
    <dxf>
      <font>
        <color theme="6"/>
      </font>
      <fill>
        <patternFill>
          <bgColor theme="6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theme="9" tint="0.59996337778862885"/>
      </font>
      <fill>
        <patternFill>
          <bgColor theme="9" tint="0.59996337778862885"/>
        </patternFill>
      </fill>
    </dxf>
    <dxf>
      <font>
        <b/>
        <i/>
        <color rgb="FFFF0000"/>
      </font>
    </dxf>
    <dxf>
      <font>
        <color rgb="FF0070C0"/>
      </font>
      <fill>
        <patternFill>
          <bgColor rgb="FF0070C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8" tint="0.39994506668294322"/>
      </font>
    </dxf>
    <dxf>
      <font>
        <b/>
        <i/>
        <color rgb="FFFF0000"/>
      </font>
    </dxf>
    <dxf>
      <font>
        <color theme="6"/>
      </font>
      <fill>
        <patternFill>
          <bgColor theme="6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theme="9" tint="0.59996337778862885"/>
      </font>
      <fill>
        <patternFill>
          <bgColor theme="9" tint="0.59996337778862885"/>
        </patternFill>
      </fill>
    </dxf>
    <dxf>
      <font>
        <b/>
        <i/>
        <color rgb="FFFF0000"/>
      </font>
    </dxf>
    <dxf>
      <font>
        <color rgb="FF0070C0"/>
      </font>
      <fill>
        <patternFill>
          <bgColor rgb="FF0070C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/>
        <color rgb="FFFF0000"/>
      </font>
    </dxf>
    <dxf>
      <font>
        <color theme="6"/>
      </font>
      <fill>
        <patternFill>
          <bgColor theme="6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theme="9" tint="0.59996337778862885"/>
      </font>
      <fill>
        <patternFill>
          <bgColor theme="9" tint="0.59996337778862885"/>
        </patternFill>
      </fill>
    </dxf>
    <dxf>
      <font>
        <b/>
        <i/>
        <color rgb="FFFF0000"/>
      </font>
    </dxf>
    <dxf>
      <font>
        <color rgb="FF0070C0"/>
      </font>
      <fill>
        <patternFill>
          <bgColor rgb="FF0070C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FFFF"/>
      <color rgb="FFFFFF99"/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PERIODO 01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11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INICIO!$E$20</c:f>
              <c:strCache>
                <c:ptCount val="1"/>
                <c:pt idx="0">
                  <c:v>PER. 01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7F2-447E-ABF3-AF11308000A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A7F2-447E-ABF3-AF11308000A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A7F2-447E-ABF3-AF11308000A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7F2-447E-ABF3-AF11308000A4}"/>
              </c:ext>
            </c:extLst>
          </c:dPt>
          <c:cat>
            <c:strRef>
              <c:f>INICIO!$D$21:$D$24</c:f>
              <c:strCache>
                <c:ptCount val="4"/>
                <c:pt idx="0">
                  <c:v>BAJO</c:v>
                </c:pt>
                <c:pt idx="1">
                  <c:v>BASICO</c:v>
                </c:pt>
                <c:pt idx="2">
                  <c:v>ALTO</c:v>
                </c:pt>
                <c:pt idx="3">
                  <c:v>SUPERIOR</c:v>
                </c:pt>
              </c:strCache>
            </c:strRef>
          </c:cat>
          <c:val>
            <c:numRef>
              <c:f>INICIO!$E$21:$E$24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2-447E-ABF3-AF1130800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PERIODO 02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11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1"/>
          <c:order val="0"/>
          <c:tx>
            <c:strRef>
              <c:f>INICIO!$E$27</c:f>
              <c:strCache>
                <c:ptCount val="1"/>
                <c:pt idx="0">
                  <c:v>PER. 02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D8AA-4625-A3F5-2525219FE65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6-D8AA-4625-A3F5-2525219FE65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D8AA-4625-A3F5-2525219FE65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8-D8AA-4625-A3F5-2525219FE65E}"/>
              </c:ext>
            </c:extLst>
          </c:dPt>
          <c:cat>
            <c:strRef>
              <c:f>INICIO!$D$28:$D$31</c:f>
              <c:strCache>
                <c:ptCount val="4"/>
                <c:pt idx="0">
                  <c:v>BAJO</c:v>
                </c:pt>
                <c:pt idx="1">
                  <c:v>BASICO</c:v>
                </c:pt>
                <c:pt idx="2">
                  <c:v>ALTO</c:v>
                </c:pt>
                <c:pt idx="3">
                  <c:v>SUPERIOR</c:v>
                </c:pt>
              </c:strCache>
            </c:strRef>
          </c:cat>
          <c:val>
            <c:numRef>
              <c:f>INICIO!$E$28:$E$31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8AA-4625-A3F5-2525219FE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PERIODO FINAL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85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INICIO!$H$20</c:f>
              <c:strCache>
                <c:ptCount val="1"/>
                <c:pt idx="0">
                  <c:v>FINAL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90B-42B2-8880-B098E94C1E9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90B-42B2-8880-B098E94C1E9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90B-42B2-8880-B098E94C1E9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690B-42B2-8880-B098E94C1E91}"/>
              </c:ext>
            </c:extLst>
          </c:dPt>
          <c:cat>
            <c:strRef>
              <c:f>INICIO!$G$21:$G$24</c:f>
              <c:strCache>
                <c:ptCount val="4"/>
                <c:pt idx="0">
                  <c:v>BAJO</c:v>
                </c:pt>
                <c:pt idx="1">
                  <c:v>BASICO</c:v>
                </c:pt>
                <c:pt idx="2">
                  <c:v>ALTO</c:v>
                </c:pt>
                <c:pt idx="3">
                  <c:v>SUPERIOR</c:v>
                </c:pt>
              </c:strCache>
            </c:strRef>
          </c:cat>
          <c:val>
            <c:numRef>
              <c:f>INICIO!$H$21:$H$24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0B-42B2-8880-B098E94C1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PERIODO 03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11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INICIO!$E$34</c:f>
              <c:strCache>
                <c:ptCount val="1"/>
                <c:pt idx="0">
                  <c:v>PER. 03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ACB-4449-A775-06DE5B38CA0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ACB-4449-A775-06DE5B38CA0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ACB-4449-A775-06DE5B38CA0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ACB-4449-A775-06DE5B38CA05}"/>
              </c:ext>
            </c:extLst>
          </c:dPt>
          <c:cat>
            <c:strRef>
              <c:f>INICIO!$D$35:$D$38</c:f>
              <c:strCache>
                <c:ptCount val="4"/>
                <c:pt idx="0">
                  <c:v>BAJO</c:v>
                </c:pt>
                <c:pt idx="1">
                  <c:v>BASICO</c:v>
                </c:pt>
                <c:pt idx="2">
                  <c:v>ALTO</c:v>
                </c:pt>
                <c:pt idx="3">
                  <c:v>SUPERIOR</c:v>
                </c:pt>
              </c:strCache>
            </c:strRef>
          </c:cat>
          <c:val>
            <c:numRef>
              <c:f>INICIO!$E$35:$E$38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CB-4449-A775-06DE5B38C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BAJO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ESTADISTICA!$B$4:$E$4</c:f>
              <c:strCache>
                <c:ptCount val="4"/>
                <c:pt idx="0">
                  <c:v>PER. 01</c:v>
                </c:pt>
                <c:pt idx="1">
                  <c:v>PER. 02</c:v>
                </c:pt>
                <c:pt idx="2">
                  <c:v>PER. 03</c:v>
                </c:pt>
                <c:pt idx="3">
                  <c:v>FINAL</c:v>
                </c:pt>
              </c:strCache>
            </c:strRef>
          </c:cat>
          <c:val>
            <c:numRef>
              <c:f>ESTADISTICA!$B$5:$E$5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7-47DB-B85B-5377548AC1EE}"/>
            </c:ext>
          </c:extLst>
        </c:ser>
        <c:ser>
          <c:idx val="1"/>
          <c:order val="1"/>
          <c:tx>
            <c:v>BASICO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ESTADISTICA!$B$4:$E$4</c:f>
              <c:strCache>
                <c:ptCount val="4"/>
                <c:pt idx="0">
                  <c:v>PER. 01</c:v>
                </c:pt>
                <c:pt idx="1">
                  <c:v>PER. 02</c:v>
                </c:pt>
                <c:pt idx="2">
                  <c:v>PER. 03</c:v>
                </c:pt>
                <c:pt idx="3">
                  <c:v>FINAL</c:v>
                </c:pt>
              </c:strCache>
            </c:strRef>
          </c:cat>
          <c:val>
            <c:numRef>
              <c:f>ESTADISTICA!$B$6:$E$6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07-47DB-B85B-5377548AC1EE}"/>
            </c:ext>
          </c:extLst>
        </c:ser>
        <c:ser>
          <c:idx val="2"/>
          <c:order val="2"/>
          <c:tx>
            <c:v>ALTO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ESTADISTICA!$B$4:$E$4</c:f>
              <c:strCache>
                <c:ptCount val="4"/>
                <c:pt idx="0">
                  <c:v>PER. 01</c:v>
                </c:pt>
                <c:pt idx="1">
                  <c:v>PER. 02</c:v>
                </c:pt>
                <c:pt idx="2">
                  <c:v>PER. 03</c:v>
                </c:pt>
                <c:pt idx="3">
                  <c:v>FINAL</c:v>
                </c:pt>
              </c:strCache>
            </c:strRef>
          </c:cat>
          <c:val>
            <c:numRef>
              <c:f>ESTADISTICA!$B$7:$E$7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07-47DB-B85B-5377548AC1EE}"/>
            </c:ext>
          </c:extLst>
        </c:ser>
        <c:ser>
          <c:idx val="3"/>
          <c:order val="3"/>
          <c:tx>
            <c:v>SUPERIOR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ESTADISTICA!$B$4:$E$4</c:f>
              <c:strCache>
                <c:ptCount val="4"/>
                <c:pt idx="0">
                  <c:v>PER. 01</c:v>
                </c:pt>
                <c:pt idx="1">
                  <c:v>PER. 02</c:v>
                </c:pt>
                <c:pt idx="2">
                  <c:v>PER. 03</c:v>
                </c:pt>
                <c:pt idx="3">
                  <c:v>FINAL</c:v>
                </c:pt>
              </c:strCache>
            </c:strRef>
          </c:cat>
          <c:val>
            <c:numRef>
              <c:f>ESTADISTICA!$B$8:$E$8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07-47DB-B85B-5377548AC1E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40694584"/>
        <c:axId val="493570082"/>
      </c:barChart>
      <c:catAx>
        <c:axId val="840694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3570082"/>
        <c:crosses val="autoZero"/>
        <c:auto val="1"/>
        <c:lblAlgn val="ctr"/>
        <c:lblOffset val="100"/>
        <c:noMultiLvlLbl val="1"/>
      </c:catAx>
      <c:valAx>
        <c:axId val="49357008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40694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 w="101600" prst="angle"/>
    </a:sp3d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hyperlink" Target="#'PERIODO 02'!B10"/><Relationship Id="rId7" Type="http://schemas.openxmlformats.org/officeDocument/2006/relationships/hyperlink" Target="#ESTADISTICA!A1"/><Relationship Id="rId2" Type="http://schemas.openxmlformats.org/officeDocument/2006/relationships/hyperlink" Target="#'PERIODO 01'!B10"/><Relationship Id="rId1" Type="http://schemas.openxmlformats.org/officeDocument/2006/relationships/image" Target="../media/image1.png"/><Relationship Id="rId6" Type="http://schemas.openxmlformats.org/officeDocument/2006/relationships/hyperlink" Target="#INFORMES!A1"/><Relationship Id="rId11" Type="http://schemas.openxmlformats.org/officeDocument/2006/relationships/chart" Target="../charts/chart4.xml"/><Relationship Id="rId5" Type="http://schemas.openxmlformats.org/officeDocument/2006/relationships/hyperlink" Target="#FINAL!B10"/><Relationship Id="rId10" Type="http://schemas.openxmlformats.org/officeDocument/2006/relationships/chart" Target="../charts/chart3.xml"/><Relationship Id="rId4" Type="http://schemas.openxmlformats.org/officeDocument/2006/relationships/hyperlink" Target="#'PERIODO 03'!B10"/><Relationship Id="rId9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INICIO!A1"/><Relationship Id="rId1" Type="http://schemas.openxmlformats.org/officeDocument/2006/relationships/image" Target="../media/image2.png"/><Relationship Id="rId5" Type="http://schemas.openxmlformats.org/officeDocument/2006/relationships/image" Target="../media/image4.pn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INICIO!A1"/><Relationship Id="rId1" Type="http://schemas.openxmlformats.org/officeDocument/2006/relationships/image" Target="../media/image2.png"/><Relationship Id="rId5" Type="http://schemas.openxmlformats.org/officeDocument/2006/relationships/image" Target="../media/image4.png"/><Relationship Id="rId4" Type="http://schemas.openxmlformats.org/officeDocument/2006/relationships/image" Target="../media/image4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INICIO!A1"/><Relationship Id="rId1" Type="http://schemas.openxmlformats.org/officeDocument/2006/relationships/image" Target="../media/image2.png"/><Relationship Id="rId5" Type="http://schemas.openxmlformats.org/officeDocument/2006/relationships/image" Target="../media/image4.png"/><Relationship Id="rId4" Type="http://schemas.openxmlformats.org/officeDocument/2006/relationships/image" Target="../media/image4.sv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INICIO!A1"/><Relationship Id="rId1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INICIO!A1"/><Relationship Id="rId1" Type="http://schemas.openxmlformats.org/officeDocument/2006/relationships/chart" Target="../charts/chart5.xml"/><Relationship Id="rId4" Type="http://schemas.openxmlformats.org/officeDocument/2006/relationships/image" Target="../media/image4.sv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hyperlink" Target="#INIC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371474</xdr:colOff>
      <xdr:row>0</xdr:row>
      <xdr:rowOff>19050</xdr:rowOff>
    </xdr:from>
    <xdr:to>
      <xdr:col>9</xdr:col>
      <xdr:colOff>19051</xdr:colOff>
      <xdr:row>4</xdr:row>
      <xdr:rowOff>142875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60E576E5-2486-4A9B-8275-B4996FA6E7F2}"/>
            </a:ext>
          </a:extLst>
        </xdr:cNvPr>
        <xdr:cNvGrpSpPr/>
      </xdr:nvGrpSpPr>
      <xdr:grpSpPr>
        <a:xfrm>
          <a:off x="371474" y="19050"/>
          <a:ext cx="9448802" cy="885825"/>
          <a:chOff x="371474" y="19050"/>
          <a:chExt cx="9020175" cy="990600"/>
        </a:xfrm>
      </xdr:grpSpPr>
      <xdr:pic>
        <xdr:nvPicPr>
          <xdr:cNvPr id="4" name="Imagen 3">
            <a:extLst>
              <a:ext uri="{FF2B5EF4-FFF2-40B4-BE49-F238E27FC236}">
                <a16:creationId xmlns:a16="http://schemas.microsoft.com/office/drawing/2014/main" id="{81D802DF-0677-49B8-AFD5-F419FC4090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09601" y="66675"/>
            <a:ext cx="1066800" cy="866775"/>
          </a:xfrm>
          <a:prstGeom prst="rect">
            <a:avLst/>
          </a:prstGeom>
        </xdr:spPr>
      </xdr:pic>
      <xdr:sp macro="" textlink="">
        <xdr:nvSpPr>
          <xdr:cNvPr id="5" name="Rectángulo 4">
            <a:extLst>
              <a:ext uri="{FF2B5EF4-FFF2-40B4-BE49-F238E27FC236}">
                <a16:creationId xmlns:a16="http://schemas.microsoft.com/office/drawing/2014/main" id="{339A2A3F-7D4D-499F-95F7-0F8503681A7C}"/>
              </a:ext>
            </a:extLst>
          </xdr:cNvPr>
          <xdr:cNvSpPr/>
        </xdr:nvSpPr>
        <xdr:spPr>
          <a:xfrm>
            <a:off x="1866900" y="19050"/>
            <a:ext cx="7083728" cy="662652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s-ES" sz="3200" b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accent5"/>
                </a:solidFill>
                <a:effectLst>
                  <a:outerShdw blurRad="12700" dist="38100" dir="2700000" algn="tl" rotWithShape="0">
                    <a:schemeClr val="accent5">
                      <a:lumMod val="60000"/>
                      <a:lumOff val="40000"/>
                    </a:schemeClr>
                  </a:outerShdw>
                </a:effectLst>
              </a:rPr>
              <a:t>INSTITUCIÓN EDUCATIVA DE COYONGAL</a:t>
            </a:r>
          </a:p>
        </xdr:txBody>
      </xdr:sp>
      <xdr:sp macro="" textlink="">
        <xdr:nvSpPr>
          <xdr:cNvPr id="6" name="Rectángulo 5">
            <a:extLst>
              <a:ext uri="{FF2B5EF4-FFF2-40B4-BE49-F238E27FC236}">
                <a16:creationId xmlns:a16="http://schemas.microsoft.com/office/drawing/2014/main" id="{3EA1CA32-C315-4D37-88A5-E44C95169F10}"/>
              </a:ext>
            </a:extLst>
          </xdr:cNvPr>
          <xdr:cNvSpPr/>
        </xdr:nvSpPr>
        <xdr:spPr>
          <a:xfrm>
            <a:off x="2876182" y="459874"/>
            <a:ext cx="4639043" cy="521201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s-ES" sz="2800" b="1" cap="none" spc="0">
                <a:ln w="6600">
                  <a:solidFill>
                    <a:schemeClr val="accent2"/>
                  </a:solidFill>
                  <a:prstDash val="solid"/>
                </a:ln>
                <a:solidFill>
                  <a:srgbClr val="FFFFFF"/>
                </a:solidFill>
                <a:effectLst>
                  <a:outerShdw dist="38100" dir="2700000" algn="tl" rotWithShape="0">
                    <a:schemeClr val="accent2"/>
                  </a:outerShdw>
                </a:effectLst>
              </a:rPr>
              <a:t>FORMATO ÚNICO DE NOTAS 2026</a:t>
            </a:r>
          </a:p>
        </xdr:txBody>
      </xdr:sp>
      <xdr:sp macro="" textlink="">
        <xdr:nvSpPr>
          <xdr:cNvPr id="7" name="Rectángulo: esquinas redondeadas 6">
            <a:extLst>
              <a:ext uri="{FF2B5EF4-FFF2-40B4-BE49-F238E27FC236}">
                <a16:creationId xmlns:a16="http://schemas.microsoft.com/office/drawing/2014/main" id="{73380472-BEF0-40D2-813A-C2BA414FE354}"/>
              </a:ext>
            </a:extLst>
          </xdr:cNvPr>
          <xdr:cNvSpPr/>
        </xdr:nvSpPr>
        <xdr:spPr>
          <a:xfrm>
            <a:off x="371474" y="19050"/>
            <a:ext cx="9020175" cy="990600"/>
          </a:xfrm>
          <a:prstGeom prst="roundRect">
            <a:avLst/>
          </a:prstGeom>
          <a:noFill/>
          <a:ln>
            <a:solidFill>
              <a:srgbClr val="0070C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</xdr:grpSp>
    <xdr:clientData/>
  </xdr:twoCellAnchor>
  <xdr:twoCellAnchor>
    <xdr:from>
      <xdr:col>1</xdr:col>
      <xdr:colOff>133349</xdr:colOff>
      <xdr:row>9</xdr:row>
      <xdr:rowOff>66675</xdr:rowOff>
    </xdr:from>
    <xdr:to>
      <xdr:col>2</xdr:col>
      <xdr:colOff>276224</xdr:colOff>
      <xdr:row>9</xdr:row>
      <xdr:rowOff>333375</xdr:rowOff>
    </xdr:to>
    <xdr:sp macro="" textlink="">
      <xdr:nvSpPr>
        <xdr:cNvPr id="10" name="Hexágono 9">
          <a:hlinkClick xmlns:r="http://schemas.openxmlformats.org/officeDocument/2006/relationships" r:id="rId2" tooltip="P1"/>
          <a:extLst>
            <a:ext uri="{FF2B5EF4-FFF2-40B4-BE49-F238E27FC236}">
              <a16:creationId xmlns:a16="http://schemas.microsoft.com/office/drawing/2014/main" id="{CA47DE59-730D-4CCE-8D7E-0A1F78EF188C}"/>
            </a:ext>
          </a:extLst>
        </xdr:cNvPr>
        <xdr:cNvSpPr/>
      </xdr:nvSpPr>
      <xdr:spPr>
        <a:xfrm>
          <a:off x="533399" y="1609725"/>
          <a:ext cx="1419225" cy="266700"/>
        </a:xfrm>
        <a:prstGeom prst="hexagon">
          <a:avLst/>
        </a:prstGeom>
        <a:solidFill>
          <a:schemeClr val="bg1"/>
        </a:solidFill>
        <a:ln>
          <a:solidFill>
            <a:schemeClr val="accent1">
              <a:lumMod val="75000"/>
            </a:schemeClr>
          </a:solidFill>
        </a:ln>
        <a:scene3d>
          <a:camera prst="orthographicFront"/>
          <a:lightRig rig="threePt" dir="t"/>
        </a:scene3d>
        <a:sp3d>
          <a:bevelT w="152400" h="120650" prst="angl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O" sz="1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PERIODO</a:t>
          </a:r>
          <a:r>
            <a:rPr lang="es-CO" sz="14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 01</a:t>
          </a:r>
          <a:endParaRPr lang="es-CO" sz="14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twoCellAnchor>
  <xdr:twoCellAnchor>
    <xdr:from>
      <xdr:col>2</xdr:col>
      <xdr:colOff>400050</xdr:colOff>
      <xdr:row>9</xdr:row>
      <xdr:rowOff>76200</xdr:rowOff>
    </xdr:from>
    <xdr:to>
      <xdr:col>2</xdr:col>
      <xdr:colOff>1819275</xdr:colOff>
      <xdr:row>9</xdr:row>
      <xdr:rowOff>342900</xdr:rowOff>
    </xdr:to>
    <xdr:sp macro="" textlink="">
      <xdr:nvSpPr>
        <xdr:cNvPr id="11" name="Hexágono 10">
          <a:hlinkClick xmlns:r="http://schemas.openxmlformats.org/officeDocument/2006/relationships" r:id="rId3" tooltip="P02"/>
          <a:extLst>
            <a:ext uri="{FF2B5EF4-FFF2-40B4-BE49-F238E27FC236}">
              <a16:creationId xmlns:a16="http://schemas.microsoft.com/office/drawing/2014/main" id="{E4C58C2D-6C60-4E7A-9C36-19393FFFA1F8}"/>
            </a:ext>
          </a:extLst>
        </xdr:cNvPr>
        <xdr:cNvSpPr/>
      </xdr:nvSpPr>
      <xdr:spPr>
        <a:xfrm>
          <a:off x="2076450" y="1619250"/>
          <a:ext cx="1419225" cy="266700"/>
        </a:xfrm>
        <a:prstGeom prst="hexagon">
          <a:avLst/>
        </a:prstGeom>
        <a:solidFill>
          <a:schemeClr val="bg1"/>
        </a:solidFill>
        <a:ln>
          <a:solidFill>
            <a:schemeClr val="accent1">
              <a:lumMod val="75000"/>
            </a:schemeClr>
          </a:solidFill>
        </a:ln>
        <a:scene3d>
          <a:camera prst="orthographicFront"/>
          <a:lightRig rig="threePt" dir="t"/>
        </a:scene3d>
        <a:sp3d>
          <a:bevelT w="152400" h="120650" prst="angl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O" sz="1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PERIODO</a:t>
          </a:r>
          <a:r>
            <a:rPr lang="es-CO" sz="14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 02</a:t>
          </a:r>
          <a:endParaRPr lang="es-CO" sz="14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twoCellAnchor>
  <xdr:twoCellAnchor>
    <xdr:from>
      <xdr:col>2</xdr:col>
      <xdr:colOff>1952625</xdr:colOff>
      <xdr:row>9</xdr:row>
      <xdr:rowOff>76200</xdr:rowOff>
    </xdr:from>
    <xdr:to>
      <xdr:col>2</xdr:col>
      <xdr:colOff>3371850</xdr:colOff>
      <xdr:row>9</xdr:row>
      <xdr:rowOff>342900</xdr:rowOff>
    </xdr:to>
    <xdr:sp macro="" textlink="">
      <xdr:nvSpPr>
        <xdr:cNvPr id="12" name="Hexágono 11">
          <a:hlinkClick xmlns:r="http://schemas.openxmlformats.org/officeDocument/2006/relationships" r:id="rId4" tooltip="P03"/>
          <a:extLst>
            <a:ext uri="{FF2B5EF4-FFF2-40B4-BE49-F238E27FC236}">
              <a16:creationId xmlns:a16="http://schemas.microsoft.com/office/drawing/2014/main" id="{0B9D6711-3D78-40B7-A4CB-E9189BE5B9FF}"/>
            </a:ext>
          </a:extLst>
        </xdr:cNvPr>
        <xdr:cNvSpPr/>
      </xdr:nvSpPr>
      <xdr:spPr>
        <a:xfrm>
          <a:off x="3629025" y="1619250"/>
          <a:ext cx="1419225" cy="266700"/>
        </a:xfrm>
        <a:prstGeom prst="hexagon">
          <a:avLst/>
        </a:prstGeom>
        <a:solidFill>
          <a:schemeClr val="bg1"/>
        </a:solidFill>
        <a:ln>
          <a:solidFill>
            <a:schemeClr val="accent1">
              <a:lumMod val="75000"/>
            </a:schemeClr>
          </a:solidFill>
        </a:ln>
        <a:scene3d>
          <a:camera prst="orthographicFront"/>
          <a:lightRig rig="threePt" dir="t"/>
        </a:scene3d>
        <a:sp3d>
          <a:bevelT w="152400" h="120650" prst="angl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O" sz="1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PERIODO</a:t>
          </a:r>
          <a:r>
            <a:rPr lang="es-CO" sz="14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 03</a:t>
          </a:r>
          <a:endParaRPr lang="es-CO" sz="14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twoCellAnchor>
  <xdr:twoCellAnchor>
    <xdr:from>
      <xdr:col>3</xdr:col>
      <xdr:colOff>85725</xdr:colOff>
      <xdr:row>9</xdr:row>
      <xdr:rowOff>76200</xdr:rowOff>
    </xdr:from>
    <xdr:to>
      <xdr:col>4</xdr:col>
      <xdr:colOff>476250</xdr:colOff>
      <xdr:row>9</xdr:row>
      <xdr:rowOff>342900</xdr:rowOff>
    </xdr:to>
    <xdr:sp macro="" textlink="">
      <xdr:nvSpPr>
        <xdr:cNvPr id="13" name="Hexágono 12">
          <a:hlinkClick xmlns:r="http://schemas.openxmlformats.org/officeDocument/2006/relationships" r:id="rId5" tooltip="PFINAL"/>
          <a:extLst>
            <a:ext uri="{FF2B5EF4-FFF2-40B4-BE49-F238E27FC236}">
              <a16:creationId xmlns:a16="http://schemas.microsoft.com/office/drawing/2014/main" id="{DF0FCA6F-448D-4FBF-BBDD-D59511691B7A}"/>
            </a:ext>
          </a:extLst>
        </xdr:cNvPr>
        <xdr:cNvSpPr/>
      </xdr:nvSpPr>
      <xdr:spPr>
        <a:xfrm>
          <a:off x="5200650" y="1619250"/>
          <a:ext cx="1419225" cy="266700"/>
        </a:xfrm>
        <a:prstGeom prst="hexagon">
          <a:avLst/>
        </a:prstGeom>
        <a:solidFill>
          <a:schemeClr val="bg1"/>
        </a:solidFill>
        <a:ln>
          <a:solidFill>
            <a:schemeClr val="accent1">
              <a:lumMod val="75000"/>
            </a:schemeClr>
          </a:solidFill>
        </a:ln>
        <a:scene3d>
          <a:camera prst="orthographicFront"/>
          <a:lightRig rig="threePt" dir="t"/>
        </a:scene3d>
        <a:sp3d>
          <a:bevelT w="152400" h="120650" prst="angl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O" sz="1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PERI.</a:t>
          </a:r>
          <a:r>
            <a:rPr lang="es-CO" sz="14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 </a:t>
          </a:r>
          <a:r>
            <a:rPr lang="es-CO" sz="1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FINAL</a:t>
          </a:r>
        </a:p>
      </xdr:txBody>
    </xdr:sp>
    <xdr:clientData/>
  </xdr:twoCellAnchor>
  <xdr:twoCellAnchor>
    <xdr:from>
      <xdr:col>4</xdr:col>
      <xdr:colOff>600075</xdr:colOff>
      <xdr:row>9</xdr:row>
      <xdr:rowOff>85725</xdr:rowOff>
    </xdr:from>
    <xdr:to>
      <xdr:col>6</xdr:col>
      <xdr:colOff>590550</xdr:colOff>
      <xdr:row>9</xdr:row>
      <xdr:rowOff>352425</xdr:rowOff>
    </xdr:to>
    <xdr:sp macro="" textlink="">
      <xdr:nvSpPr>
        <xdr:cNvPr id="14" name="Hexágono 13">
          <a:hlinkClick xmlns:r="http://schemas.openxmlformats.org/officeDocument/2006/relationships" r:id="rId6" tooltip="INFORMES"/>
          <a:extLst>
            <a:ext uri="{FF2B5EF4-FFF2-40B4-BE49-F238E27FC236}">
              <a16:creationId xmlns:a16="http://schemas.microsoft.com/office/drawing/2014/main" id="{66C3DB33-3EA8-4FEE-A72F-77D1C97DF290}"/>
            </a:ext>
          </a:extLst>
        </xdr:cNvPr>
        <xdr:cNvSpPr/>
      </xdr:nvSpPr>
      <xdr:spPr>
        <a:xfrm>
          <a:off x="6743700" y="1628775"/>
          <a:ext cx="1419225" cy="266700"/>
        </a:xfrm>
        <a:prstGeom prst="hexagon">
          <a:avLst/>
        </a:prstGeom>
        <a:solidFill>
          <a:schemeClr val="bg1"/>
        </a:solidFill>
        <a:ln>
          <a:solidFill>
            <a:schemeClr val="accent1">
              <a:lumMod val="75000"/>
            </a:schemeClr>
          </a:solidFill>
        </a:ln>
        <a:scene3d>
          <a:camera prst="orthographicFront"/>
          <a:lightRig rig="threePt" dir="t"/>
        </a:scene3d>
        <a:sp3d>
          <a:bevelT w="152400" h="120650" prst="angl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INFORMES</a:t>
          </a:r>
        </a:p>
      </xdr:txBody>
    </xdr:sp>
    <xdr:clientData/>
  </xdr:twoCellAnchor>
  <xdr:twoCellAnchor>
    <xdr:from>
      <xdr:col>6</xdr:col>
      <xdr:colOff>628650</xdr:colOff>
      <xdr:row>9</xdr:row>
      <xdr:rowOff>76200</xdr:rowOff>
    </xdr:from>
    <xdr:to>
      <xdr:col>8</xdr:col>
      <xdr:colOff>752475</xdr:colOff>
      <xdr:row>9</xdr:row>
      <xdr:rowOff>342900</xdr:rowOff>
    </xdr:to>
    <xdr:sp macro="" textlink="">
      <xdr:nvSpPr>
        <xdr:cNvPr id="15" name="Hexágono 14">
          <a:hlinkClick xmlns:r="http://schemas.openxmlformats.org/officeDocument/2006/relationships" r:id="rId7" tooltip="ESTADISTICAS GENERALES"/>
          <a:extLst>
            <a:ext uri="{FF2B5EF4-FFF2-40B4-BE49-F238E27FC236}">
              <a16:creationId xmlns:a16="http://schemas.microsoft.com/office/drawing/2014/main" id="{2464531D-C439-4626-80B1-C0CE3ED22706}"/>
            </a:ext>
          </a:extLst>
        </xdr:cNvPr>
        <xdr:cNvSpPr/>
      </xdr:nvSpPr>
      <xdr:spPr>
        <a:xfrm>
          <a:off x="8201025" y="1619250"/>
          <a:ext cx="1552575" cy="266700"/>
        </a:xfrm>
        <a:prstGeom prst="hexagon">
          <a:avLst/>
        </a:prstGeom>
        <a:solidFill>
          <a:schemeClr val="bg1"/>
        </a:solidFill>
        <a:ln>
          <a:solidFill>
            <a:schemeClr val="accent1">
              <a:lumMod val="75000"/>
            </a:schemeClr>
          </a:solidFill>
        </a:ln>
        <a:scene3d>
          <a:camera prst="orthographicFront"/>
          <a:lightRig rig="threePt" dir="t"/>
        </a:scene3d>
        <a:sp3d>
          <a:bevelT w="152400" h="120650" prst="angl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O" sz="1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ESTADÍSTICAS</a:t>
          </a:r>
        </a:p>
      </xdr:txBody>
    </xdr:sp>
    <xdr:clientData/>
  </xdr:twoCellAnchor>
  <xdr:twoCellAnchor>
    <xdr:from>
      <xdr:col>0</xdr:col>
      <xdr:colOff>371474</xdr:colOff>
      <xdr:row>10</xdr:row>
      <xdr:rowOff>38100</xdr:rowOff>
    </xdr:from>
    <xdr:to>
      <xdr:col>2</xdr:col>
      <xdr:colOff>981075</xdr:colOff>
      <xdr:row>18</xdr:row>
      <xdr:rowOff>647700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B304009F-4CD0-470D-ADDC-D831E5B79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1047750</xdr:colOff>
      <xdr:row>10</xdr:row>
      <xdr:rowOff>47625</xdr:rowOff>
    </xdr:from>
    <xdr:to>
      <xdr:col>2</xdr:col>
      <xdr:colOff>3333751</xdr:colOff>
      <xdr:row>18</xdr:row>
      <xdr:rowOff>657225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1E987CF1-8AA5-47A8-91FD-285D5F6C1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571500</xdr:colOff>
      <xdr:row>10</xdr:row>
      <xdr:rowOff>47625</xdr:rowOff>
    </xdr:from>
    <xdr:to>
      <xdr:col>8</xdr:col>
      <xdr:colOff>714376</xdr:colOff>
      <xdr:row>18</xdr:row>
      <xdr:rowOff>657225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76CCFCD2-FC8A-4627-93D7-E147ED89F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3409950</xdr:colOff>
      <xdr:row>10</xdr:row>
      <xdr:rowOff>47625</xdr:rowOff>
    </xdr:from>
    <xdr:to>
      <xdr:col>5</xdr:col>
      <xdr:colOff>514351</xdr:colOff>
      <xdr:row>18</xdr:row>
      <xdr:rowOff>657225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AA71EC02-40C0-4B2D-BB46-7E3D1CC50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4762</xdr:colOff>
      <xdr:row>1</xdr:row>
      <xdr:rowOff>219074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07CAD3-680A-46EB-BEBA-B8D682728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0"/>
          <a:ext cx="3609974" cy="504824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5</xdr:row>
      <xdr:rowOff>152400</xdr:rowOff>
    </xdr:from>
    <xdr:to>
      <xdr:col>1</xdr:col>
      <xdr:colOff>104776</xdr:colOff>
      <xdr:row>8</xdr:row>
      <xdr:rowOff>47624</xdr:rowOff>
    </xdr:to>
    <xdr:pic>
      <xdr:nvPicPr>
        <xdr:cNvPr id="3" name="Gráfico 2" descr="Casa con relleno sólido">
          <a:hlinkClick xmlns:r="http://schemas.openxmlformats.org/officeDocument/2006/relationships" r:id="rId2" tooltip="IR AL MENU DE INIO"/>
          <a:extLst>
            <a:ext uri="{FF2B5EF4-FFF2-40B4-BE49-F238E27FC236}">
              <a16:creationId xmlns:a16="http://schemas.microsoft.com/office/drawing/2014/main" id="{1E51E71A-B051-47B7-BB73-E0D9DBBDE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" y="1323975"/>
          <a:ext cx="552450" cy="552449"/>
        </a:xfrm>
        <a:prstGeom prst="rect">
          <a:avLst/>
        </a:prstGeom>
      </xdr:spPr>
    </xdr:pic>
    <xdr:clientData fPrintsWithSheet="0"/>
  </xdr:twoCellAnchor>
  <xdr:twoCellAnchor editAs="absolute">
    <xdr:from>
      <xdr:col>1</xdr:col>
      <xdr:colOff>2607468</xdr:colOff>
      <xdr:row>5</xdr:row>
      <xdr:rowOff>154782</xdr:rowOff>
    </xdr:from>
    <xdr:to>
      <xdr:col>1</xdr:col>
      <xdr:colOff>3164681</xdr:colOff>
      <xdr:row>8</xdr:row>
      <xdr:rowOff>50006</xdr:rowOff>
    </xdr:to>
    <xdr:pic>
      <xdr:nvPicPr>
        <xdr:cNvPr id="8" name="Gráfico 7" descr="Casa con relleno sólido">
          <a:hlinkClick xmlns:r="http://schemas.openxmlformats.org/officeDocument/2006/relationships" r:id="rId2" tooltip="IR AL MENU DE INIO"/>
          <a:extLst>
            <a:ext uri="{FF2B5EF4-FFF2-40B4-BE49-F238E27FC236}">
              <a16:creationId xmlns:a16="http://schemas.microsoft.com/office/drawing/2014/main" id="{C05EA3F9-9F0F-4276-AA41-003BC5D9C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059906" y="1309688"/>
          <a:ext cx="557213" cy="538162"/>
        </a:xfrm>
        <a:prstGeom prst="rect">
          <a:avLst/>
        </a:prstGeom>
      </xdr:spPr>
    </xdr:pic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4762</xdr:colOff>
      <xdr:row>1</xdr:row>
      <xdr:rowOff>219074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AE0D68-28BC-4C6F-B653-78DB66EAE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0"/>
          <a:ext cx="3614737" cy="504824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5</xdr:row>
      <xdr:rowOff>152400</xdr:rowOff>
    </xdr:from>
    <xdr:to>
      <xdr:col>1</xdr:col>
      <xdr:colOff>104776</xdr:colOff>
      <xdr:row>8</xdr:row>
      <xdr:rowOff>47624</xdr:rowOff>
    </xdr:to>
    <xdr:pic>
      <xdr:nvPicPr>
        <xdr:cNvPr id="3" name="Gráfico 2" descr="Casa con relleno sólido">
          <a:hlinkClick xmlns:r="http://schemas.openxmlformats.org/officeDocument/2006/relationships" r:id="rId2" tooltip="IR AL MENU DE INIO"/>
          <a:extLst>
            <a:ext uri="{FF2B5EF4-FFF2-40B4-BE49-F238E27FC236}">
              <a16:creationId xmlns:a16="http://schemas.microsoft.com/office/drawing/2014/main" id="{0BC8E22E-9C03-490A-9D95-DA11CC01D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" y="1323975"/>
          <a:ext cx="552450" cy="552449"/>
        </a:xfrm>
        <a:prstGeom prst="rect">
          <a:avLst/>
        </a:prstGeom>
      </xdr:spPr>
    </xdr:pic>
    <xdr:clientData fPrintsWithSheet="0"/>
  </xdr:twoCellAnchor>
  <xdr:twoCellAnchor editAs="absolute">
    <xdr:from>
      <xdr:col>1</xdr:col>
      <xdr:colOff>2607468</xdr:colOff>
      <xdr:row>5</xdr:row>
      <xdr:rowOff>154782</xdr:rowOff>
    </xdr:from>
    <xdr:to>
      <xdr:col>1</xdr:col>
      <xdr:colOff>3164681</xdr:colOff>
      <xdr:row>8</xdr:row>
      <xdr:rowOff>50006</xdr:rowOff>
    </xdr:to>
    <xdr:pic>
      <xdr:nvPicPr>
        <xdr:cNvPr id="4" name="Gráfico 3" descr="Casa con relleno sólido">
          <a:hlinkClick xmlns:r="http://schemas.openxmlformats.org/officeDocument/2006/relationships" r:id="rId2" tooltip="IR AL MENU DE INIO"/>
          <a:extLst>
            <a:ext uri="{FF2B5EF4-FFF2-40B4-BE49-F238E27FC236}">
              <a16:creationId xmlns:a16="http://schemas.microsoft.com/office/drawing/2014/main" id="{73B625E9-ABEE-4A84-99F8-70AF23D05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055143" y="1326357"/>
          <a:ext cx="557213" cy="552449"/>
        </a:xfrm>
        <a:prstGeom prst="rect">
          <a:avLst/>
        </a:prstGeom>
      </xdr:spPr>
    </xdr:pic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4762</xdr:colOff>
      <xdr:row>1</xdr:row>
      <xdr:rowOff>219074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E7E599-93C7-445F-BEAA-174A145C6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0"/>
          <a:ext cx="3614737" cy="504824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5</xdr:row>
      <xdr:rowOff>152400</xdr:rowOff>
    </xdr:from>
    <xdr:to>
      <xdr:col>1</xdr:col>
      <xdr:colOff>104776</xdr:colOff>
      <xdr:row>8</xdr:row>
      <xdr:rowOff>47624</xdr:rowOff>
    </xdr:to>
    <xdr:pic>
      <xdr:nvPicPr>
        <xdr:cNvPr id="3" name="Gráfico 2" descr="Casa con relleno sólido">
          <a:hlinkClick xmlns:r="http://schemas.openxmlformats.org/officeDocument/2006/relationships" r:id="rId2" tooltip="IR AL MENU DE INIO"/>
          <a:extLst>
            <a:ext uri="{FF2B5EF4-FFF2-40B4-BE49-F238E27FC236}">
              <a16:creationId xmlns:a16="http://schemas.microsoft.com/office/drawing/2014/main" id="{791128B0-474F-44B8-805C-833CA55CC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" y="1323975"/>
          <a:ext cx="552450" cy="552449"/>
        </a:xfrm>
        <a:prstGeom prst="rect">
          <a:avLst/>
        </a:prstGeom>
      </xdr:spPr>
    </xdr:pic>
    <xdr:clientData fPrintsWithSheet="0"/>
  </xdr:twoCellAnchor>
  <xdr:twoCellAnchor editAs="absolute">
    <xdr:from>
      <xdr:col>1</xdr:col>
      <xdr:colOff>2607468</xdr:colOff>
      <xdr:row>5</xdr:row>
      <xdr:rowOff>154782</xdr:rowOff>
    </xdr:from>
    <xdr:to>
      <xdr:col>1</xdr:col>
      <xdr:colOff>3164681</xdr:colOff>
      <xdr:row>8</xdr:row>
      <xdr:rowOff>50006</xdr:rowOff>
    </xdr:to>
    <xdr:pic>
      <xdr:nvPicPr>
        <xdr:cNvPr id="4" name="Gráfico 3" descr="Casa con relleno sólido">
          <a:hlinkClick xmlns:r="http://schemas.openxmlformats.org/officeDocument/2006/relationships" r:id="rId2" tooltip="IR AL MENU DE INIO"/>
          <a:extLst>
            <a:ext uri="{FF2B5EF4-FFF2-40B4-BE49-F238E27FC236}">
              <a16:creationId xmlns:a16="http://schemas.microsoft.com/office/drawing/2014/main" id="{523F63E1-7589-4D6C-9F98-68626AEBA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055143" y="1326357"/>
          <a:ext cx="557213" cy="552449"/>
        </a:xfrm>
        <a:prstGeom prst="rect">
          <a:avLst/>
        </a:prstGeom>
      </xdr:spPr>
    </xdr:pic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47625</xdr:rowOff>
    </xdr:from>
    <xdr:to>
      <xdr:col>7</xdr:col>
      <xdr:colOff>704851</xdr:colOff>
      <xdr:row>3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D2F024-0482-4DA5-99B9-D7ED60948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47625"/>
          <a:ext cx="7258050" cy="685800"/>
        </a:xfrm>
        <a:prstGeom prst="rect">
          <a:avLst/>
        </a:prstGeom>
      </xdr:spPr>
    </xdr:pic>
    <xdr:clientData/>
  </xdr:twoCellAnchor>
  <xdr:twoCellAnchor editAs="absolute">
    <xdr:from>
      <xdr:col>18</xdr:col>
      <xdr:colOff>152400</xdr:colOff>
      <xdr:row>0</xdr:row>
      <xdr:rowOff>85725</xdr:rowOff>
    </xdr:from>
    <xdr:to>
      <xdr:col>18</xdr:col>
      <xdr:colOff>704850</xdr:colOff>
      <xdr:row>3</xdr:row>
      <xdr:rowOff>66674</xdr:rowOff>
    </xdr:to>
    <xdr:pic>
      <xdr:nvPicPr>
        <xdr:cNvPr id="5" name="Gráfico 4" descr="Casa con relleno sólido">
          <a:hlinkClick xmlns:r="http://schemas.openxmlformats.org/officeDocument/2006/relationships" r:id="rId2" tooltip="IR AL MENU DE INIO"/>
          <a:extLst>
            <a:ext uri="{FF2B5EF4-FFF2-40B4-BE49-F238E27FC236}">
              <a16:creationId xmlns:a16="http://schemas.microsoft.com/office/drawing/2014/main" id="{825F56F4-9667-4364-8A33-4E424598D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448550" y="85725"/>
          <a:ext cx="552450" cy="552449"/>
        </a:xfrm>
        <a:prstGeom prst="rect">
          <a:avLst/>
        </a:prstGeom>
      </xdr:spPr>
    </xdr:pic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142874</xdr:colOff>
      <xdr:row>0</xdr:row>
      <xdr:rowOff>114300</xdr:rowOff>
    </xdr:from>
    <xdr:ext cx="6324601" cy="4000500"/>
    <xdr:graphicFrame macro="">
      <xdr:nvGraphicFramePr>
        <xdr:cNvPr id="2078937365" name="Chart 1">
          <a:extLst>
            <a:ext uri="{FF2B5EF4-FFF2-40B4-BE49-F238E27FC236}">
              <a16:creationId xmlns:a16="http://schemas.microsoft.com/office/drawing/2014/main" id="{00000000-0008-0000-0500-00001511E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absolute">
    <xdr:from>
      <xdr:col>0</xdr:col>
      <xdr:colOff>123825</xdr:colOff>
      <xdr:row>0</xdr:row>
      <xdr:rowOff>28575</xdr:rowOff>
    </xdr:from>
    <xdr:to>
      <xdr:col>0</xdr:col>
      <xdr:colOff>771525</xdr:colOff>
      <xdr:row>2</xdr:row>
      <xdr:rowOff>200024</xdr:rowOff>
    </xdr:to>
    <xdr:pic>
      <xdr:nvPicPr>
        <xdr:cNvPr id="4" name="Gráfico 3" descr="Casa con relleno sólido">
          <a:hlinkClick xmlns:r="http://schemas.openxmlformats.org/officeDocument/2006/relationships" r:id="rId2" tooltip="IR AL MENU DE INIO"/>
          <a:extLst>
            <a:ext uri="{FF2B5EF4-FFF2-40B4-BE49-F238E27FC236}">
              <a16:creationId xmlns:a16="http://schemas.microsoft.com/office/drawing/2014/main" id="{3F95DFCA-8ACC-4E13-955E-93118E55D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3825" y="28575"/>
          <a:ext cx="647700" cy="552449"/>
        </a:xfrm>
        <a:prstGeom prst="rect">
          <a:avLst/>
        </a:prstGeom>
      </xdr:spPr>
    </xdr:pic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2143125</xdr:colOff>
      <xdr:row>0</xdr:row>
      <xdr:rowOff>57150</xdr:rowOff>
    </xdr:from>
    <xdr:to>
      <xdr:col>6</xdr:col>
      <xdr:colOff>9524</xdr:colOff>
      <xdr:row>7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" name="PERIODO 1">
              <a:extLst>
                <a:ext uri="{FF2B5EF4-FFF2-40B4-BE49-F238E27FC236}">
                  <a16:creationId xmlns:a16="http://schemas.microsoft.com/office/drawing/2014/main" id="{078947AA-CEA0-4C62-8C76-22E781421E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8025" y="57150"/>
              <a:ext cx="3095624" cy="142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333375</xdr:colOff>
      <xdr:row>0</xdr:row>
      <xdr:rowOff>47625</xdr:rowOff>
    </xdr:from>
    <xdr:to>
      <xdr:col>2</xdr:col>
      <xdr:colOff>2028825</xdr:colOff>
      <xdr:row>7</xdr:row>
      <xdr:rowOff>142875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1" name="DESEMPEÑO 1">
              <a:extLst>
                <a:ext uri="{FF2B5EF4-FFF2-40B4-BE49-F238E27FC236}">
                  <a16:creationId xmlns:a16="http://schemas.microsoft.com/office/drawing/2014/main" id="{AEE2CD2B-E4F7-4A65-BECA-B7B9A0E2AA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EMPE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3375" y="47625"/>
              <a:ext cx="2800350" cy="142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 fLocksWithSheet="0"/>
  </xdr:twoCellAnchor>
  <xdr:twoCellAnchor editAs="absolute">
    <xdr:from>
      <xdr:col>6</xdr:col>
      <xdr:colOff>104775</xdr:colOff>
      <xdr:row>0</xdr:row>
      <xdr:rowOff>47625</xdr:rowOff>
    </xdr:from>
    <xdr:to>
      <xdr:col>6</xdr:col>
      <xdr:colOff>657225</xdr:colOff>
      <xdr:row>3</xdr:row>
      <xdr:rowOff>28574</xdr:rowOff>
    </xdr:to>
    <xdr:pic>
      <xdr:nvPicPr>
        <xdr:cNvPr id="12" name="Gráfico 11" descr="Casa con relleno sólido">
          <a:hlinkClick xmlns:r="http://schemas.openxmlformats.org/officeDocument/2006/relationships" r:id="rId1" tooltip="IR AL MENU DE INIO"/>
          <a:extLst>
            <a:ext uri="{FF2B5EF4-FFF2-40B4-BE49-F238E27FC236}">
              <a16:creationId xmlns:a16="http://schemas.microsoft.com/office/drawing/2014/main" id="{CC4892CC-6FCA-427B-819D-6FBA4A9BC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438900" y="47625"/>
          <a:ext cx="552450" cy="552449"/>
        </a:xfrm>
        <a:prstGeom prst="rect">
          <a:avLst/>
        </a:prstGeom>
      </xdr:spPr>
    </xdr:pic>
    <xdr:clientData fPrintsWithSheet="0"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PERIODO" sourceName="PERIODO">
  <extLst>
    <x:ext xmlns:x15="http://schemas.microsoft.com/office/spreadsheetml/2010/11/main" uri="{2F2917AC-EB37-4324-AD4E-5DD8C200BD13}">
      <x15:tableSlicerCache tableId="1" column="4" crossFilter="none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DESEMPEÑO" sourceName="DESEMPEÑO">
  <extLst>
    <x:ext xmlns:x15="http://schemas.microsoft.com/office/spreadsheetml/2010/11/main" uri="{2F2917AC-EB37-4324-AD4E-5DD8C200BD13}">
      <x15:tableSlicerCache tableId="1" column="5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ERIODO 1" cache="SegmentaciónDeDatos_PERIODO" caption="PERIODO" rowHeight="241300"/>
  <slicer name="DESEMPEÑO 1" cache="SegmentaciónDeDatos_DESEMPEÑO" caption="DESEMPEÑO" rowHeight="241300"/>
</slicers>
</file>

<file path=xl/tables/table1.xml><?xml version="1.0" encoding="utf-8"?>
<table xmlns="http://schemas.openxmlformats.org/spreadsheetml/2006/main" id="1" name="Tabla1" displayName="Tabla1" ref="B9:F169" totalsRowShown="0" tableBorderDxfId="5">
  <autoFilter ref="B9:F169">
    <filterColumn colId="3">
      <filters>
        <filter val="PERIODO FIN"/>
      </filters>
    </filterColumn>
  </autoFilter>
  <tableColumns count="5">
    <tableColumn id="1" name="Nº" dataDxfId="4"/>
    <tableColumn id="2" name="NOMBRE DEL ESTUDIANTE" dataDxfId="3"/>
    <tableColumn id="3" name="NOTA" dataDxfId="2"/>
    <tableColumn id="4" name="PERIODO" dataDxfId="1"/>
    <tableColumn id="5" name="DESEMPEÑO" dataDxfId="0">
      <calculatedColumnFormula>IF(D10&lt;2.95,"BAJO",IF(D10&lt;4,"BASICO",IF(D10&lt;4.5,"ALTO","SUPERIOR")))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B1:I1001"/>
  <sheetViews>
    <sheetView showGridLines="0" showRowColHeaders="0" workbookViewId="0">
      <pane ySplit="10" topLeftCell="A11" activePane="bottomLeft" state="frozen"/>
      <selection pane="bottomLeft" activeCell="G8" sqref="G8"/>
    </sheetView>
  </sheetViews>
  <sheetFormatPr baseColWidth="10" defaultColWidth="14.42578125" defaultRowHeight="15" customHeight="1"/>
  <cols>
    <col min="1" max="1" width="6" customWidth="1"/>
    <col min="2" max="2" width="19.140625" customWidth="1"/>
    <col min="3" max="3" width="51.5703125" customWidth="1"/>
    <col min="4" max="4" width="15.42578125" customWidth="1"/>
    <col min="5" max="8" width="10.7109375" customWidth="1"/>
    <col min="9" max="9" width="12" customWidth="1"/>
    <col min="10" max="27" width="10.7109375" customWidth="1"/>
  </cols>
  <sheetData>
    <row r="1" spans="2:9" ht="15" customHeight="1">
      <c r="C1" s="28"/>
    </row>
    <row r="2" spans="2:9" ht="15" customHeight="1">
      <c r="B2" s="22"/>
    </row>
    <row r="5" spans="2:9" ht="15" customHeight="1" thickBot="1"/>
    <row r="6" spans="2:9" ht="9.75" customHeight="1">
      <c r="B6" s="68"/>
      <c r="C6" s="69"/>
      <c r="D6" s="69"/>
      <c r="E6" s="69"/>
      <c r="F6" s="69"/>
      <c r="G6" s="69"/>
      <c r="H6" s="69"/>
      <c r="I6" s="70"/>
    </row>
    <row r="7" spans="2:9" ht="16.5" customHeight="1">
      <c r="B7" s="71" t="s">
        <v>0</v>
      </c>
      <c r="C7" s="32"/>
      <c r="D7" s="67" t="s">
        <v>2</v>
      </c>
      <c r="E7" s="113"/>
      <c r="F7" s="113"/>
      <c r="G7" s="113"/>
      <c r="H7" s="113"/>
      <c r="I7" s="114"/>
    </row>
    <row r="8" spans="2:9" ht="16.5" customHeight="1">
      <c r="B8" s="71" t="s">
        <v>1</v>
      </c>
      <c r="C8" s="32"/>
      <c r="D8" s="67" t="s">
        <v>23</v>
      </c>
      <c r="E8" s="101"/>
      <c r="F8" s="67" t="s">
        <v>46</v>
      </c>
      <c r="G8" s="102"/>
      <c r="H8" s="110"/>
      <c r="I8" s="111"/>
    </row>
    <row r="9" spans="2:9" ht="3.75" customHeight="1">
      <c r="B9" s="72"/>
      <c r="C9" s="95"/>
      <c r="D9" s="96"/>
      <c r="E9" s="97"/>
      <c r="F9" s="96"/>
      <c r="G9" s="98"/>
      <c r="H9" s="99"/>
      <c r="I9" s="100"/>
    </row>
    <row r="10" spans="2:9" ht="31.5" customHeight="1" thickBot="1">
      <c r="B10" s="73"/>
      <c r="C10" s="74"/>
      <c r="D10" s="75"/>
      <c r="E10" s="76"/>
      <c r="F10" s="109"/>
      <c r="G10" s="109"/>
      <c r="H10" s="109"/>
      <c r="I10" s="112"/>
    </row>
    <row r="19" spans="4:8" ht="82.5" customHeight="1"/>
    <row r="20" spans="4:8" ht="15" customHeight="1">
      <c r="D20" s="103" t="str">
        <f>+ESTADISTICA!A4</f>
        <v>DESEMPEÑOS</v>
      </c>
      <c r="E20" s="104" t="str">
        <f>+ESTADISTICA!B4</f>
        <v>PER. 01</v>
      </c>
      <c r="F20" s="105"/>
      <c r="G20" s="105" t="s">
        <v>37</v>
      </c>
      <c r="H20" s="104" t="str">
        <f>+ESTADISTICA!E4</f>
        <v>FINAL</v>
      </c>
    </row>
    <row r="21" spans="4:8" ht="15" customHeight="1">
      <c r="D21" s="105" t="str">
        <f>+ESTADISTICA!A5</f>
        <v>BAJO</v>
      </c>
      <c r="E21" s="106" t="e">
        <f>(+ESTADISTICA!B5/$E$25)</f>
        <v>#DIV/0!</v>
      </c>
      <c r="F21" s="105"/>
      <c r="G21" s="105" t="s">
        <v>32</v>
      </c>
      <c r="H21" s="106" t="e">
        <f>(+ESTADISTICA!E5/$E$25)</f>
        <v>#DIV/0!</v>
      </c>
    </row>
    <row r="22" spans="4:8" ht="15.75" customHeight="1">
      <c r="D22" s="105" t="str">
        <f>+ESTADISTICA!A6</f>
        <v>BASICO</v>
      </c>
      <c r="E22" s="106" t="e">
        <f>(+ESTADISTICA!B6/$E$25)</f>
        <v>#DIV/0!</v>
      </c>
      <c r="F22" s="105"/>
      <c r="G22" s="105" t="s">
        <v>33</v>
      </c>
      <c r="H22" s="106" t="e">
        <f>(+ESTADISTICA!E6/$E$25)</f>
        <v>#DIV/0!</v>
      </c>
    </row>
    <row r="23" spans="4:8" ht="15.75" customHeight="1">
      <c r="D23" s="105" t="str">
        <f>+ESTADISTICA!A7</f>
        <v>ALTO</v>
      </c>
      <c r="E23" s="106" t="e">
        <f>(+ESTADISTICA!B7/$E$25)</f>
        <v>#DIV/0!</v>
      </c>
      <c r="F23" s="105"/>
      <c r="G23" s="105" t="s">
        <v>34</v>
      </c>
      <c r="H23" s="106" t="e">
        <f>(+ESTADISTICA!E7/$E$25)</f>
        <v>#DIV/0!</v>
      </c>
    </row>
    <row r="24" spans="4:8" ht="15.75" customHeight="1">
      <c r="D24" s="105" t="str">
        <f>+ESTADISTICA!A8</f>
        <v>SUPERIOR</v>
      </c>
      <c r="E24" s="106" t="e">
        <f>(+ESTADISTICA!B8/$E$25)</f>
        <v>#DIV/0!</v>
      </c>
      <c r="F24" s="105"/>
      <c r="G24" s="105" t="s">
        <v>35</v>
      </c>
      <c r="H24" s="106" t="e">
        <f>(+ESTADISTICA!E8/$E$25)</f>
        <v>#DIV/0!</v>
      </c>
    </row>
    <row r="25" spans="4:8" ht="15.75" customHeight="1">
      <c r="D25" s="103" t="s">
        <v>68</v>
      </c>
      <c r="E25" s="107">
        <f>+ESTADISTICA!B9</f>
        <v>0</v>
      </c>
      <c r="F25" s="105"/>
      <c r="G25" s="105" t="s">
        <v>68</v>
      </c>
      <c r="H25" s="107">
        <f>+ESTADISTICA!E9</f>
        <v>0</v>
      </c>
    </row>
    <row r="26" spans="4:8" ht="15.75" customHeight="1">
      <c r="D26" s="105"/>
      <c r="E26" s="105"/>
      <c r="F26" s="105"/>
      <c r="G26" s="105"/>
      <c r="H26" s="105"/>
    </row>
    <row r="27" spans="4:8" ht="15.75" customHeight="1">
      <c r="D27" s="103" t="s">
        <v>37</v>
      </c>
      <c r="E27" s="104" t="str">
        <f>+ESTADISTICA!C4</f>
        <v>PER. 02</v>
      </c>
      <c r="F27" s="105"/>
      <c r="G27" s="105"/>
      <c r="H27" s="105"/>
    </row>
    <row r="28" spans="4:8" ht="15.75" customHeight="1">
      <c r="D28" s="105" t="s">
        <v>32</v>
      </c>
      <c r="E28" s="106" t="e">
        <f>(+ESTADISTICA!C5/$E$25)</f>
        <v>#DIV/0!</v>
      </c>
      <c r="F28" s="105"/>
      <c r="G28" s="105"/>
      <c r="H28" s="105"/>
    </row>
    <row r="29" spans="4:8" ht="15.75" customHeight="1">
      <c r="D29" s="105" t="s">
        <v>33</v>
      </c>
      <c r="E29" s="106" t="e">
        <f>(+ESTADISTICA!C6/$E$25)</f>
        <v>#DIV/0!</v>
      </c>
      <c r="F29" s="105"/>
      <c r="G29" s="105"/>
      <c r="H29" s="105"/>
    </row>
    <row r="30" spans="4:8" ht="15.75" customHeight="1">
      <c r="D30" s="105" t="s">
        <v>34</v>
      </c>
      <c r="E30" s="106" t="e">
        <f>(+ESTADISTICA!C7/$E$25)</f>
        <v>#DIV/0!</v>
      </c>
      <c r="F30" s="105"/>
      <c r="G30" s="105"/>
      <c r="H30" s="105"/>
    </row>
    <row r="31" spans="4:8" ht="15.75" customHeight="1">
      <c r="D31" s="105" t="s">
        <v>35</v>
      </c>
      <c r="E31" s="106" t="e">
        <f>(+ESTADISTICA!C8/$E$25)</f>
        <v>#DIV/0!</v>
      </c>
      <c r="F31" s="105"/>
      <c r="G31" s="105"/>
      <c r="H31" s="105"/>
    </row>
    <row r="32" spans="4:8" ht="15.75" customHeight="1">
      <c r="D32" s="103" t="s">
        <v>68</v>
      </c>
      <c r="E32" s="107">
        <f>+ESTADISTICA!C9</f>
        <v>0</v>
      </c>
      <c r="F32" s="105"/>
      <c r="G32" s="105"/>
      <c r="H32" s="105"/>
    </row>
    <row r="33" spans="4:8" ht="15.75" customHeight="1">
      <c r="D33" s="105"/>
      <c r="E33" s="105"/>
      <c r="F33" s="105"/>
      <c r="G33" s="105"/>
      <c r="H33" s="105"/>
    </row>
    <row r="34" spans="4:8" ht="15.75" customHeight="1">
      <c r="D34" s="105" t="s">
        <v>37</v>
      </c>
      <c r="E34" s="104" t="str">
        <f>+ESTADISTICA!D4</f>
        <v>PER. 03</v>
      </c>
      <c r="F34" s="105"/>
      <c r="G34" s="105"/>
      <c r="H34" s="105"/>
    </row>
    <row r="35" spans="4:8" ht="15.75" customHeight="1">
      <c r="D35" s="105" t="s">
        <v>32</v>
      </c>
      <c r="E35" s="106" t="e">
        <f>(+ESTADISTICA!D5/$E$25)</f>
        <v>#DIV/0!</v>
      </c>
      <c r="F35" s="105"/>
      <c r="G35" s="105"/>
      <c r="H35" s="105"/>
    </row>
    <row r="36" spans="4:8" ht="15.75" customHeight="1">
      <c r="D36" s="105" t="s">
        <v>33</v>
      </c>
      <c r="E36" s="106" t="e">
        <f>(+ESTADISTICA!D6/$E$25)</f>
        <v>#DIV/0!</v>
      </c>
      <c r="F36" s="105"/>
      <c r="G36" s="105"/>
      <c r="H36" s="105"/>
    </row>
    <row r="37" spans="4:8" ht="15.75" customHeight="1">
      <c r="D37" s="105" t="s">
        <v>34</v>
      </c>
      <c r="E37" s="106" t="e">
        <f>(+ESTADISTICA!D7/$E$25)</f>
        <v>#DIV/0!</v>
      </c>
      <c r="F37" s="105"/>
      <c r="G37" s="105"/>
      <c r="H37" s="105"/>
    </row>
    <row r="38" spans="4:8" ht="15.75" customHeight="1">
      <c r="D38" s="105" t="s">
        <v>35</v>
      </c>
      <c r="E38" s="106" t="e">
        <f>(+ESTADISTICA!D8/$E$25)</f>
        <v>#DIV/0!</v>
      </c>
      <c r="F38" s="105"/>
      <c r="G38" s="105"/>
      <c r="H38" s="105"/>
    </row>
    <row r="39" spans="4:8" ht="15.75" customHeight="1">
      <c r="D39" s="105" t="s">
        <v>68</v>
      </c>
      <c r="E39" s="107">
        <f>+ESTADISTICA!D9</f>
        <v>0</v>
      </c>
      <c r="F39" s="105"/>
      <c r="G39" s="105"/>
      <c r="H39" s="105"/>
    </row>
    <row r="40" spans="4:8" ht="15.75" customHeight="1">
      <c r="D40" s="105"/>
      <c r="E40" s="105"/>
      <c r="F40" s="105"/>
      <c r="G40" s="105"/>
      <c r="H40" s="105"/>
    </row>
    <row r="41" spans="4:8" ht="15.75" customHeight="1">
      <c r="D41" s="105"/>
      <c r="E41" s="105"/>
      <c r="F41" s="105"/>
      <c r="G41" s="105"/>
      <c r="H41" s="105"/>
    </row>
    <row r="42" spans="4:8" ht="15.75" customHeight="1">
      <c r="D42" s="105"/>
      <c r="E42" s="105"/>
      <c r="F42" s="105"/>
      <c r="G42" s="105"/>
      <c r="H42" s="105"/>
    </row>
    <row r="43" spans="4:8" ht="15.75" customHeight="1">
      <c r="D43" s="105"/>
      <c r="E43" s="105"/>
      <c r="F43" s="105"/>
      <c r="G43" s="105"/>
      <c r="H43" s="105"/>
    </row>
    <row r="44" spans="4:8" ht="15.75" customHeight="1">
      <c r="D44" s="105"/>
      <c r="E44" s="105"/>
      <c r="F44" s="105"/>
      <c r="G44" s="105"/>
      <c r="H44" s="105"/>
    </row>
    <row r="45" spans="4:8" ht="15.75" customHeight="1">
      <c r="D45" s="105"/>
      <c r="E45" s="105"/>
      <c r="F45" s="105"/>
      <c r="G45" s="105"/>
      <c r="H45" s="105"/>
    </row>
    <row r="46" spans="4:8" ht="15.75" customHeight="1">
      <c r="D46" s="105"/>
      <c r="E46" s="105"/>
      <c r="F46" s="105"/>
      <c r="G46" s="105"/>
      <c r="H46" s="105"/>
    </row>
    <row r="47" spans="4:8" ht="15.75" customHeight="1">
      <c r="D47" s="105"/>
      <c r="E47" s="105"/>
      <c r="F47" s="105"/>
      <c r="G47" s="105"/>
      <c r="H47" s="105"/>
    </row>
    <row r="48" spans="4:8" ht="15.75" customHeight="1">
      <c r="D48" s="105"/>
      <c r="E48" s="105"/>
      <c r="F48" s="105"/>
      <c r="G48" s="105"/>
      <c r="H48" s="105"/>
    </row>
    <row r="49" spans="4:8" ht="15.75" customHeight="1">
      <c r="D49" s="105"/>
      <c r="E49" s="105"/>
      <c r="F49" s="105"/>
      <c r="G49" s="105"/>
      <c r="H49" s="105"/>
    </row>
    <row r="50" spans="4:8" ht="15.75" customHeight="1">
      <c r="D50" s="105"/>
      <c r="E50" s="105"/>
      <c r="F50" s="105"/>
      <c r="G50" s="105"/>
      <c r="H50" s="105"/>
    </row>
    <row r="51" spans="4:8" ht="15.75" customHeight="1">
      <c r="D51" s="105"/>
      <c r="E51" s="105"/>
      <c r="F51" s="105"/>
      <c r="G51" s="105"/>
      <c r="H51" s="105"/>
    </row>
    <row r="52" spans="4:8" ht="15.75" customHeight="1">
      <c r="D52" s="105"/>
      <c r="E52" s="105"/>
      <c r="F52" s="105"/>
      <c r="G52" s="105"/>
      <c r="H52" s="105"/>
    </row>
    <row r="53" spans="4:8" ht="15.75" customHeight="1">
      <c r="D53" s="105"/>
      <c r="E53" s="105"/>
      <c r="F53" s="105"/>
      <c r="G53" s="105"/>
      <c r="H53" s="105"/>
    </row>
    <row r="54" spans="4:8" ht="15.75" customHeight="1">
      <c r="D54" s="105"/>
      <c r="E54" s="105"/>
      <c r="F54" s="105"/>
      <c r="G54" s="105"/>
      <c r="H54" s="105"/>
    </row>
    <row r="55" spans="4:8" ht="15.75" customHeight="1">
      <c r="D55" s="105"/>
      <c r="E55" s="105"/>
      <c r="F55" s="105"/>
      <c r="G55" s="105"/>
      <c r="H55" s="105"/>
    </row>
    <row r="56" spans="4:8" ht="15.75" customHeight="1">
      <c r="D56" s="105"/>
      <c r="E56" s="105"/>
      <c r="F56" s="105"/>
      <c r="G56" s="105"/>
      <c r="H56" s="105"/>
    </row>
    <row r="57" spans="4:8" ht="15.75" customHeight="1">
      <c r="D57" s="105"/>
      <c r="E57" s="105"/>
      <c r="F57" s="105"/>
      <c r="G57" s="105"/>
      <c r="H57" s="105"/>
    </row>
    <row r="58" spans="4:8" ht="15.75" customHeight="1">
      <c r="D58" s="105"/>
      <c r="E58" s="105"/>
      <c r="F58" s="105"/>
      <c r="G58" s="105"/>
      <c r="H58" s="105"/>
    </row>
    <row r="59" spans="4:8" ht="15.75" customHeight="1"/>
    <row r="60" spans="4:8" ht="15.75" customHeight="1"/>
    <row r="61" spans="4:8" ht="15.75" customHeight="1"/>
    <row r="62" spans="4:8" ht="15.75" customHeight="1"/>
    <row r="63" spans="4:8" ht="15.75" customHeight="1"/>
    <row r="64" spans="4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sheetProtection algorithmName="SHA-512" hashValue="gSIGYySJJRO1Hp0uRxtajDqA0V416M47O/+8HycInj0K3x7KEZ6gtDKhCo6ENgCTf8hgx8uPBefbDUwf8w2fNw==" saltValue="TzFyR2OaB+bOXweEsomWSQ==" spinCount="100000" sheet="1" objects="1" scenarios="1" selectLockedCells="1"/>
  <mergeCells count="4">
    <mergeCell ref="F10:G10"/>
    <mergeCell ref="H8:I8"/>
    <mergeCell ref="H10:I10"/>
    <mergeCell ref="E7:I7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97"/>
  <sheetViews>
    <sheetView showGridLines="0" zoomScaleNormal="100" workbookViewId="0">
      <pane xSplit="2" ySplit="9" topLeftCell="L12" activePane="bottomRight" state="frozen"/>
      <selection pane="topRight" activeCell="C1" sqref="C1"/>
      <selection pane="bottomLeft" activeCell="A9" sqref="A9"/>
      <selection pane="bottomRight" activeCell="AA12" sqref="AA12"/>
    </sheetView>
  </sheetViews>
  <sheetFormatPr baseColWidth="10" defaultColWidth="14.42578125" defaultRowHeight="15" customHeight="1"/>
  <cols>
    <col min="1" max="1" width="6.7109375" customWidth="1"/>
    <col min="2" max="2" width="47.5703125" customWidth="1"/>
    <col min="3" max="3" width="6.7109375" customWidth="1"/>
    <col min="4" max="11" width="5.7109375" customWidth="1"/>
    <col min="12" max="12" width="6.140625" customWidth="1"/>
    <col min="13" max="16" width="5.7109375" hidden="1" customWidth="1"/>
    <col min="17" max="17" width="0.140625" customWidth="1"/>
    <col min="18" max="18" width="5.7109375" customWidth="1"/>
    <col min="19" max="19" width="7.42578125" customWidth="1"/>
    <col min="20" max="24" width="9.85546875" customWidth="1"/>
    <col min="25" max="25" width="9" customWidth="1"/>
    <col min="26" max="30" width="10" customWidth="1"/>
    <col min="31" max="31" width="6.7109375" customWidth="1"/>
    <col min="32" max="33" width="6.7109375" style="45" customWidth="1"/>
  </cols>
  <sheetData>
    <row r="1" spans="1:33" ht="22.5" customHeight="1" thickBot="1">
      <c r="A1" s="20"/>
      <c r="B1" s="23"/>
      <c r="C1" s="174" t="s">
        <v>5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6"/>
      <c r="S1" s="177" t="s">
        <v>7</v>
      </c>
      <c r="T1" s="175"/>
      <c r="U1" s="175"/>
      <c r="V1" s="175"/>
      <c r="W1" s="175"/>
      <c r="X1" s="176"/>
      <c r="Y1" s="178" t="s">
        <v>6</v>
      </c>
      <c r="Z1" s="179"/>
      <c r="AA1" s="179"/>
      <c r="AB1" s="179"/>
      <c r="AC1" s="179"/>
      <c r="AD1" s="180"/>
      <c r="AE1" s="181" t="s">
        <v>49</v>
      </c>
      <c r="AF1" s="186" t="s">
        <v>8</v>
      </c>
      <c r="AG1" s="159" t="s">
        <v>50</v>
      </c>
    </row>
    <row r="2" spans="1:33" ht="18" customHeight="1" thickBot="1">
      <c r="A2" s="24"/>
      <c r="B2" s="27"/>
      <c r="C2" s="25" t="s">
        <v>44</v>
      </c>
      <c r="D2" s="163" t="s">
        <v>45</v>
      </c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5"/>
      <c r="S2" s="26" t="s">
        <v>44</v>
      </c>
      <c r="T2" s="166" t="s">
        <v>45</v>
      </c>
      <c r="U2" s="167"/>
      <c r="V2" s="167"/>
      <c r="W2" s="167"/>
      <c r="X2" s="168"/>
      <c r="Y2" s="33" t="s">
        <v>44</v>
      </c>
      <c r="Z2" s="169" t="s">
        <v>45</v>
      </c>
      <c r="AA2" s="170"/>
      <c r="AB2" s="170"/>
      <c r="AC2" s="170"/>
      <c r="AD2" s="171"/>
      <c r="AE2" s="182"/>
      <c r="AF2" s="187"/>
      <c r="AG2" s="160"/>
    </row>
    <row r="3" spans="1:33" ht="17.25" customHeight="1">
      <c r="A3" s="139" t="str">
        <f>CONCATENATE(INICIO!B7," ",INICIO!C7)</f>
        <v xml:space="preserve">SEDE: </v>
      </c>
      <c r="B3" s="140"/>
      <c r="C3" s="16" t="s">
        <v>39</v>
      </c>
      <c r="D3" s="151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3"/>
      <c r="S3" s="13" t="s">
        <v>39</v>
      </c>
      <c r="T3" s="154"/>
      <c r="U3" s="155"/>
      <c r="V3" s="155"/>
      <c r="W3" s="155"/>
      <c r="X3" s="156"/>
      <c r="Y3" s="34" t="s">
        <v>39</v>
      </c>
      <c r="Z3" s="157"/>
      <c r="AA3" s="157"/>
      <c r="AB3" s="157"/>
      <c r="AC3" s="157"/>
      <c r="AD3" s="158"/>
      <c r="AE3" s="183"/>
      <c r="AF3" s="188"/>
      <c r="AG3" s="161"/>
    </row>
    <row r="4" spans="1:33" ht="17.25" customHeight="1">
      <c r="A4" s="139" t="str">
        <f>CONCATENATE(INICIO!D7," ",INICIO!E7)</f>
        <v xml:space="preserve">DOCENTE: </v>
      </c>
      <c r="B4" s="140"/>
      <c r="C4" s="17" t="s">
        <v>10</v>
      </c>
      <c r="D4" s="141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3"/>
      <c r="S4" s="14" t="s">
        <v>40</v>
      </c>
      <c r="T4" s="144"/>
      <c r="U4" s="145"/>
      <c r="V4" s="145"/>
      <c r="W4" s="145"/>
      <c r="X4" s="146"/>
      <c r="Y4" s="35" t="s">
        <v>40</v>
      </c>
      <c r="Z4" s="147"/>
      <c r="AA4" s="147"/>
      <c r="AB4" s="147"/>
      <c r="AC4" s="147"/>
      <c r="AD4" s="148"/>
      <c r="AE4" s="183"/>
      <c r="AF4" s="188"/>
      <c r="AG4" s="161"/>
    </row>
    <row r="5" spans="1:33" ht="17.25" customHeight="1">
      <c r="A5" s="139" t="str">
        <f>CONCATENATE(INICIO!B8," ",INICIO!C8)</f>
        <v xml:space="preserve">ASIGNATURA: </v>
      </c>
      <c r="B5" s="140"/>
      <c r="C5" s="17" t="s">
        <v>14</v>
      </c>
      <c r="D5" s="141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3"/>
      <c r="S5" s="14" t="s">
        <v>41</v>
      </c>
      <c r="T5" s="144"/>
      <c r="U5" s="145"/>
      <c r="V5" s="145"/>
      <c r="W5" s="145"/>
      <c r="X5" s="146"/>
      <c r="Y5" s="35" t="s">
        <v>41</v>
      </c>
      <c r="Z5" s="147"/>
      <c r="AA5" s="147"/>
      <c r="AB5" s="147"/>
      <c r="AC5" s="147"/>
      <c r="AD5" s="148"/>
      <c r="AE5" s="183"/>
      <c r="AF5" s="188"/>
      <c r="AG5" s="161"/>
    </row>
    <row r="6" spans="1:33" ht="17.25" customHeight="1" thickBot="1">
      <c r="A6" s="149" t="str">
        <f>CONCATENATE(INICIO!D8,INICIO!E8,"  ",INICIO!F8,INICIO!G8)</f>
        <v>GRADO:  GRUPO:</v>
      </c>
      <c r="B6" s="150"/>
      <c r="C6" s="17" t="s">
        <v>12</v>
      </c>
      <c r="D6" s="141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3"/>
      <c r="S6" s="14" t="s">
        <v>42</v>
      </c>
      <c r="T6" s="144"/>
      <c r="U6" s="145"/>
      <c r="V6" s="145"/>
      <c r="W6" s="145"/>
      <c r="X6" s="146"/>
      <c r="Y6" s="35" t="s">
        <v>42</v>
      </c>
      <c r="Z6" s="147"/>
      <c r="AA6" s="147"/>
      <c r="AB6" s="147"/>
      <c r="AC6" s="147"/>
      <c r="AD6" s="148"/>
      <c r="AE6" s="183"/>
      <c r="AF6" s="188"/>
      <c r="AG6" s="161"/>
    </row>
    <row r="7" spans="1:33" ht="17.25" customHeight="1" thickBot="1">
      <c r="A7" s="115" t="s">
        <v>48</v>
      </c>
      <c r="B7" s="116"/>
      <c r="C7" s="18" t="s">
        <v>13</v>
      </c>
      <c r="D7" s="119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1"/>
      <c r="S7" s="15" t="s">
        <v>43</v>
      </c>
      <c r="T7" s="122"/>
      <c r="U7" s="123"/>
      <c r="V7" s="123"/>
      <c r="W7" s="123"/>
      <c r="X7" s="124"/>
      <c r="Y7" s="36" t="s">
        <v>43</v>
      </c>
      <c r="Z7" s="125"/>
      <c r="AA7" s="125"/>
      <c r="AB7" s="125"/>
      <c r="AC7" s="125"/>
      <c r="AD7" s="126"/>
      <c r="AE7" s="183"/>
      <c r="AF7" s="188"/>
      <c r="AG7" s="161"/>
    </row>
    <row r="8" spans="1:33" ht="17.25" customHeight="1" thickBot="1">
      <c r="A8" s="117"/>
      <c r="B8" s="118"/>
      <c r="C8" s="127" t="s">
        <v>9</v>
      </c>
      <c r="D8" s="128"/>
      <c r="E8" s="129" t="s">
        <v>10</v>
      </c>
      <c r="F8" s="128"/>
      <c r="G8" s="130" t="s">
        <v>11</v>
      </c>
      <c r="H8" s="128"/>
      <c r="I8" s="129" t="s">
        <v>12</v>
      </c>
      <c r="J8" s="128"/>
      <c r="K8" s="130" t="s">
        <v>13</v>
      </c>
      <c r="L8" s="128"/>
      <c r="M8" s="12"/>
      <c r="N8" s="12"/>
      <c r="O8" s="12"/>
      <c r="P8" s="12"/>
      <c r="Q8" s="12"/>
      <c r="R8" s="131" t="s">
        <v>38</v>
      </c>
      <c r="S8" s="172" t="s">
        <v>9</v>
      </c>
      <c r="T8" s="133" t="s">
        <v>10</v>
      </c>
      <c r="U8" s="135" t="s">
        <v>14</v>
      </c>
      <c r="V8" s="133" t="s">
        <v>12</v>
      </c>
      <c r="W8" s="135" t="s">
        <v>15</v>
      </c>
      <c r="X8" s="136" t="s">
        <v>38</v>
      </c>
      <c r="Y8" s="190" t="s">
        <v>9</v>
      </c>
      <c r="Z8" s="138" t="s">
        <v>10</v>
      </c>
      <c r="AA8" s="190" t="s">
        <v>14</v>
      </c>
      <c r="AB8" s="138" t="s">
        <v>12</v>
      </c>
      <c r="AC8" s="190" t="s">
        <v>15</v>
      </c>
      <c r="AD8" s="191" t="s">
        <v>38</v>
      </c>
      <c r="AE8" s="184"/>
      <c r="AF8" s="188"/>
      <c r="AG8" s="161"/>
    </row>
    <row r="9" spans="1:33" ht="13.5" customHeight="1" thickBot="1">
      <c r="A9" s="30" t="s">
        <v>3</v>
      </c>
      <c r="B9" s="31" t="s">
        <v>4</v>
      </c>
      <c r="C9" s="19" t="s">
        <v>16</v>
      </c>
      <c r="D9" s="9" t="s">
        <v>17</v>
      </c>
      <c r="E9" s="10" t="s">
        <v>16</v>
      </c>
      <c r="F9" s="10" t="s">
        <v>17</v>
      </c>
      <c r="G9" s="9" t="s">
        <v>16</v>
      </c>
      <c r="H9" s="9" t="s">
        <v>17</v>
      </c>
      <c r="I9" s="10" t="s">
        <v>16</v>
      </c>
      <c r="J9" s="10" t="s">
        <v>17</v>
      </c>
      <c r="K9" s="9" t="s">
        <v>16</v>
      </c>
      <c r="L9" s="9" t="s">
        <v>17</v>
      </c>
      <c r="M9" s="11" t="s">
        <v>18</v>
      </c>
      <c r="N9" s="11" t="s">
        <v>19</v>
      </c>
      <c r="O9" s="11" t="s">
        <v>20</v>
      </c>
      <c r="P9" s="11" t="s">
        <v>21</v>
      </c>
      <c r="Q9" s="11" t="s">
        <v>22</v>
      </c>
      <c r="R9" s="132"/>
      <c r="S9" s="173"/>
      <c r="T9" s="134"/>
      <c r="U9" s="134"/>
      <c r="V9" s="134"/>
      <c r="W9" s="134"/>
      <c r="X9" s="137"/>
      <c r="Y9" s="134"/>
      <c r="Z9" s="134"/>
      <c r="AA9" s="134"/>
      <c r="AB9" s="134"/>
      <c r="AC9" s="134"/>
      <c r="AD9" s="192"/>
      <c r="AE9" s="185"/>
      <c r="AF9" s="189"/>
      <c r="AG9" s="162"/>
    </row>
    <row r="10" spans="1:33" ht="15.75">
      <c r="A10" s="21">
        <v>1</v>
      </c>
      <c r="B10" s="46"/>
      <c r="C10" s="47"/>
      <c r="D10" s="48"/>
      <c r="E10" s="49"/>
      <c r="F10" s="49"/>
      <c r="G10" s="48"/>
      <c r="H10" s="48"/>
      <c r="I10" s="49"/>
      <c r="J10" s="49"/>
      <c r="K10" s="48"/>
      <c r="L10" s="48"/>
      <c r="M10" s="8" t="str">
        <f t="shared" ref="M10:M49" si="0">IF(ISBLANK(C10),"",IF(C10&gt;D10,C10,D10))</f>
        <v/>
      </c>
      <c r="N10" s="8" t="str">
        <f t="shared" ref="N10:N49" si="1">IF(ISBLANK(E10)," ",IF(E10&gt;F10,E10,F10))</f>
        <v xml:space="preserve"> </v>
      </c>
      <c r="O10" s="8" t="str">
        <f t="shared" ref="O10:O49" si="2">IF(ISBLANK(G10),"",IF(G10&gt;H10,G10,H10))</f>
        <v/>
      </c>
      <c r="P10" s="8" t="str">
        <f t="shared" ref="P10:P49" si="3">IF(ISBLANK(I10),"",IF(I10&gt;J10,I10,J10))</f>
        <v/>
      </c>
      <c r="Q10" s="8" t="str">
        <f t="shared" ref="Q10:Q49" si="4">IF(ISBLANK(K10),"",IF(K10&gt;L10,K10,L10))</f>
        <v/>
      </c>
      <c r="R10" s="37" t="e">
        <f t="shared" ref="R10:R49" si="5">AVERAGE(M10:Q10)</f>
        <v>#DIV/0!</v>
      </c>
      <c r="S10" s="54"/>
      <c r="T10" s="55"/>
      <c r="U10" s="54"/>
      <c r="V10" s="55"/>
      <c r="W10" s="54"/>
      <c r="X10" s="39" t="e">
        <f t="shared" ref="X10:X49" si="6">AVERAGE(S10:W10)</f>
        <v>#DIV/0!</v>
      </c>
      <c r="Y10" s="58"/>
      <c r="Z10" s="59"/>
      <c r="AA10" s="58"/>
      <c r="AB10" s="59"/>
      <c r="AC10" s="58"/>
      <c r="AD10" s="41" t="e">
        <f t="shared" ref="AD10:AD49" si="7">AVERAGE(Y10:AC10)</f>
        <v>#DIV/0!</v>
      </c>
      <c r="AE10" s="43" t="e">
        <f>R10*0.5+X10*0.3+AD10*0.2</f>
        <v>#DIV/0!</v>
      </c>
      <c r="AF10" s="62"/>
      <c r="AG10" s="64" t="e">
        <f t="shared" ref="AG10:AG49" si="8">IF(AE10&gt;AF10,AE10,AF10)</f>
        <v>#DIV/0!</v>
      </c>
    </row>
    <row r="11" spans="1:33" ht="15.75">
      <c r="A11" s="21">
        <v>2</v>
      </c>
      <c r="B11" s="50"/>
      <c r="C11" s="51"/>
      <c r="D11" s="52"/>
      <c r="E11" s="53"/>
      <c r="F11" s="53"/>
      <c r="G11" s="52"/>
      <c r="H11" s="52"/>
      <c r="I11" s="53"/>
      <c r="J11" s="53"/>
      <c r="K11" s="52"/>
      <c r="L11" s="52"/>
      <c r="M11" s="3" t="str">
        <f t="shared" si="0"/>
        <v/>
      </c>
      <c r="N11" s="3" t="str">
        <f t="shared" si="1"/>
        <v xml:space="preserve"> </v>
      </c>
      <c r="O11" s="3" t="str">
        <f t="shared" si="2"/>
        <v/>
      </c>
      <c r="P11" s="3" t="str">
        <f t="shared" si="3"/>
        <v/>
      </c>
      <c r="Q11" s="3" t="str">
        <f t="shared" si="4"/>
        <v/>
      </c>
      <c r="R11" s="38" t="e">
        <f t="shared" si="5"/>
        <v>#DIV/0!</v>
      </c>
      <c r="S11" s="56"/>
      <c r="T11" s="57"/>
      <c r="U11" s="56"/>
      <c r="V11" s="57"/>
      <c r="W11" s="56"/>
      <c r="X11" s="40" t="e">
        <f t="shared" si="6"/>
        <v>#DIV/0!</v>
      </c>
      <c r="Y11" s="60"/>
      <c r="Z11" s="61"/>
      <c r="AA11" s="60"/>
      <c r="AB11" s="61"/>
      <c r="AC11" s="60"/>
      <c r="AD11" s="42" t="e">
        <f t="shared" si="7"/>
        <v>#DIV/0!</v>
      </c>
      <c r="AE11" s="43" t="e">
        <f t="shared" ref="AE11:AE49" si="9">R11*0.5+X11*0.3+AD11*0.2</f>
        <v>#DIV/0!</v>
      </c>
      <c r="AF11" s="63"/>
      <c r="AG11" s="65" t="e">
        <f t="shared" si="8"/>
        <v>#DIV/0!</v>
      </c>
    </row>
    <row r="12" spans="1:33" ht="15.75">
      <c r="A12" s="21">
        <v>3</v>
      </c>
      <c r="B12" s="50"/>
      <c r="C12" s="51"/>
      <c r="D12" s="52"/>
      <c r="E12" s="53"/>
      <c r="F12" s="53"/>
      <c r="G12" s="52"/>
      <c r="H12" s="52"/>
      <c r="I12" s="53"/>
      <c r="J12" s="53"/>
      <c r="K12" s="52"/>
      <c r="L12" s="52"/>
      <c r="M12" s="3" t="str">
        <f t="shared" si="0"/>
        <v/>
      </c>
      <c r="N12" s="3" t="str">
        <f t="shared" si="1"/>
        <v xml:space="preserve"> </v>
      </c>
      <c r="O12" s="3" t="str">
        <f t="shared" si="2"/>
        <v/>
      </c>
      <c r="P12" s="3" t="str">
        <f t="shared" si="3"/>
        <v/>
      </c>
      <c r="Q12" s="3" t="str">
        <f t="shared" si="4"/>
        <v/>
      </c>
      <c r="R12" s="38" t="e">
        <f t="shared" si="5"/>
        <v>#DIV/0!</v>
      </c>
      <c r="S12" s="56"/>
      <c r="T12" s="57"/>
      <c r="U12" s="56"/>
      <c r="V12" s="57"/>
      <c r="W12" s="56"/>
      <c r="X12" s="40" t="e">
        <f t="shared" si="6"/>
        <v>#DIV/0!</v>
      </c>
      <c r="Y12" s="60"/>
      <c r="Z12" s="61"/>
      <c r="AA12" s="60"/>
      <c r="AB12" s="61"/>
      <c r="AC12" s="60"/>
      <c r="AD12" s="42" t="e">
        <f t="shared" si="7"/>
        <v>#DIV/0!</v>
      </c>
      <c r="AE12" s="43" t="e">
        <f t="shared" si="9"/>
        <v>#DIV/0!</v>
      </c>
      <c r="AF12" s="63"/>
      <c r="AG12" s="65" t="e">
        <f t="shared" si="8"/>
        <v>#DIV/0!</v>
      </c>
    </row>
    <row r="13" spans="1:33" ht="15.75">
      <c r="A13" s="21">
        <v>4</v>
      </c>
      <c r="B13" s="50"/>
      <c r="C13" s="51"/>
      <c r="D13" s="52"/>
      <c r="E13" s="53"/>
      <c r="F13" s="53"/>
      <c r="G13" s="52"/>
      <c r="H13" s="52"/>
      <c r="I13" s="53"/>
      <c r="J13" s="53"/>
      <c r="K13" s="52"/>
      <c r="L13" s="52"/>
      <c r="M13" s="3" t="str">
        <f t="shared" si="0"/>
        <v/>
      </c>
      <c r="N13" s="3" t="str">
        <f t="shared" si="1"/>
        <v xml:space="preserve"> </v>
      </c>
      <c r="O13" s="3" t="str">
        <f t="shared" si="2"/>
        <v/>
      </c>
      <c r="P13" s="3" t="str">
        <f t="shared" si="3"/>
        <v/>
      </c>
      <c r="Q13" s="3" t="str">
        <f t="shared" si="4"/>
        <v/>
      </c>
      <c r="R13" s="38" t="e">
        <f t="shared" si="5"/>
        <v>#DIV/0!</v>
      </c>
      <c r="S13" s="56"/>
      <c r="T13" s="57"/>
      <c r="U13" s="56"/>
      <c r="V13" s="57"/>
      <c r="W13" s="56"/>
      <c r="X13" s="40" t="e">
        <f t="shared" si="6"/>
        <v>#DIV/0!</v>
      </c>
      <c r="Y13" s="60"/>
      <c r="Z13" s="61"/>
      <c r="AA13" s="60"/>
      <c r="AB13" s="61"/>
      <c r="AC13" s="60"/>
      <c r="AD13" s="42" t="e">
        <f t="shared" si="7"/>
        <v>#DIV/0!</v>
      </c>
      <c r="AE13" s="43" t="e">
        <f t="shared" si="9"/>
        <v>#DIV/0!</v>
      </c>
      <c r="AF13" s="63"/>
      <c r="AG13" s="65" t="e">
        <f t="shared" si="8"/>
        <v>#DIV/0!</v>
      </c>
    </row>
    <row r="14" spans="1:33" ht="15.75">
      <c r="A14" s="21">
        <v>5</v>
      </c>
      <c r="B14" s="50"/>
      <c r="C14" s="51"/>
      <c r="D14" s="52"/>
      <c r="E14" s="53"/>
      <c r="F14" s="53"/>
      <c r="G14" s="52"/>
      <c r="H14" s="52"/>
      <c r="I14" s="53"/>
      <c r="J14" s="53"/>
      <c r="K14" s="52"/>
      <c r="L14" s="52"/>
      <c r="M14" s="3" t="str">
        <f t="shared" si="0"/>
        <v/>
      </c>
      <c r="N14" s="3" t="str">
        <f t="shared" si="1"/>
        <v xml:space="preserve"> </v>
      </c>
      <c r="O14" s="3" t="str">
        <f t="shared" si="2"/>
        <v/>
      </c>
      <c r="P14" s="3" t="str">
        <f t="shared" si="3"/>
        <v/>
      </c>
      <c r="Q14" s="3" t="str">
        <f t="shared" si="4"/>
        <v/>
      </c>
      <c r="R14" s="38" t="e">
        <f t="shared" si="5"/>
        <v>#DIV/0!</v>
      </c>
      <c r="S14" s="56"/>
      <c r="T14" s="57"/>
      <c r="U14" s="56"/>
      <c r="V14" s="57"/>
      <c r="W14" s="56"/>
      <c r="X14" s="40" t="e">
        <f t="shared" si="6"/>
        <v>#DIV/0!</v>
      </c>
      <c r="Y14" s="60"/>
      <c r="Z14" s="61"/>
      <c r="AA14" s="60"/>
      <c r="AB14" s="61"/>
      <c r="AC14" s="60"/>
      <c r="AD14" s="42" t="e">
        <f t="shared" si="7"/>
        <v>#DIV/0!</v>
      </c>
      <c r="AE14" s="43" t="e">
        <f t="shared" si="9"/>
        <v>#DIV/0!</v>
      </c>
      <c r="AF14" s="63"/>
      <c r="AG14" s="65" t="e">
        <f t="shared" si="8"/>
        <v>#DIV/0!</v>
      </c>
    </row>
    <row r="15" spans="1:33" ht="15.75">
      <c r="A15" s="21">
        <v>6</v>
      </c>
      <c r="B15" s="50"/>
      <c r="C15" s="51"/>
      <c r="D15" s="52"/>
      <c r="E15" s="53"/>
      <c r="F15" s="53"/>
      <c r="G15" s="52"/>
      <c r="H15" s="52"/>
      <c r="I15" s="53"/>
      <c r="J15" s="53"/>
      <c r="K15" s="52"/>
      <c r="L15" s="52"/>
      <c r="M15" s="3" t="str">
        <f t="shared" si="0"/>
        <v/>
      </c>
      <c r="N15" s="3" t="str">
        <f t="shared" si="1"/>
        <v xml:space="preserve"> </v>
      </c>
      <c r="O15" s="3" t="str">
        <f t="shared" si="2"/>
        <v/>
      </c>
      <c r="P15" s="3" t="str">
        <f t="shared" si="3"/>
        <v/>
      </c>
      <c r="Q15" s="3" t="str">
        <f t="shared" si="4"/>
        <v/>
      </c>
      <c r="R15" s="38" t="e">
        <f t="shared" si="5"/>
        <v>#DIV/0!</v>
      </c>
      <c r="S15" s="56"/>
      <c r="T15" s="57"/>
      <c r="U15" s="56"/>
      <c r="V15" s="57"/>
      <c r="W15" s="56"/>
      <c r="X15" s="40" t="e">
        <f t="shared" si="6"/>
        <v>#DIV/0!</v>
      </c>
      <c r="Y15" s="60"/>
      <c r="Z15" s="61"/>
      <c r="AA15" s="60"/>
      <c r="AB15" s="61"/>
      <c r="AC15" s="60"/>
      <c r="AD15" s="42" t="e">
        <f t="shared" si="7"/>
        <v>#DIV/0!</v>
      </c>
      <c r="AE15" s="43" t="e">
        <f t="shared" si="9"/>
        <v>#DIV/0!</v>
      </c>
      <c r="AF15" s="63"/>
      <c r="AG15" s="65" t="e">
        <f t="shared" si="8"/>
        <v>#DIV/0!</v>
      </c>
    </row>
    <row r="16" spans="1:33" ht="15.75">
      <c r="A16" s="21">
        <v>7</v>
      </c>
      <c r="B16" s="50"/>
      <c r="C16" s="51"/>
      <c r="D16" s="52"/>
      <c r="E16" s="53"/>
      <c r="F16" s="53"/>
      <c r="G16" s="52"/>
      <c r="H16" s="52"/>
      <c r="I16" s="53"/>
      <c r="J16" s="53"/>
      <c r="K16" s="52"/>
      <c r="L16" s="52"/>
      <c r="M16" s="3" t="str">
        <f t="shared" si="0"/>
        <v/>
      </c>
      <c r="N16" s="3" t="str">
        <f t="shared" si="1"/>
        <v xml:space="preserve"> </v>
      </c>
      <c r="O16" s="3" t="str">
        <f t="shared" si="2"/>
        <v/>
      </c>
      <c r="P16" s="3" t="str">
        <f t="shared" si="3"/>
        <v/>
      </c>
      <c r="Q16" s="3" t="str">
        <f t="shared" si="4"/>
        <v/>
      </c>
      <c r="R16" s="38" t="e">
        <f t="shared" si="5"/>
        <v>#DIV/0!</v>
      </c>
      <c r="S16" s="56"/>
      <c r="T16" s="57"/>
      <c r="U16" s="56"/>
      <c r="V16" s="57"/>
      <c r="W16" s="56"/>
      <c r="X16" s="40" t="e">
        <f t="shared" si="6"/>
        <v>#DIV/0!</v>
      </c>
      <c r="Y16" s="60"/>
      <c r="Z16" s="61"/>
      <c r="AA16" s="60"/>
      <c r="AB16" s="61"/>
      <c r="AC16" s="60"/>
      <c r="AD16" s="42" t="e">
        <f t="shared" si="7"/>
        <v>#DIV/0!</v>
      </c>
      <c r="AE16" s="43" t="e">
        <f t="shared" si="9"/>
        <v>#DIV/0!</v>
      </c>
      <c r="AF16" s="63"/>
      <c r="AG16" s="65" t="e">
        <f t="shared" si="8"/>
        <v>#DIV/0!</v>
      </c>
    </row>
    <row r="17" spans="1:33" ht="15.75">
      <c r="A17" s="21">
        <v>8</v>
      </c>
      <c r="B17" s="50"/>
      <c r="C17" s="51"/>
      <c r="D17" s="52"/>
      <c r="E17" s="53"/>
      <c r="F17" s="53"/>
      <c r="G17" s="52"/>
      <c r="H17" s="52"/>
      <c r="I17" s="53"/>
      <c r="J17" s="53"/>
      <c r="K17" s="52"/>
      <c r="L17" s="52"/>
      <c r="M17" s="3" t="str">
        <f t="shared" si="0"/>
        <v/>
      </c>
      <c r="N17" s="3" t="str">
        <f t="shared" si="1"/>
        <v xml:space="preserve"> </v>
      </c>
      <c r="O17" s="3" t="str">
        <f t="shared" si="2"/>
        <v/>
      </c>
      <c r="P17" s="3" t="str">
        <f t="shared" si="3"/>
        <v/>
      </c>
      <c r="Q17" s="3" t="str">
        <f t="shared" si="4"/>
        <v/>
      </c>
      <c r="R17" s="38" t="e">
        <f t="shared" si="5"/>
        <v>#DIV/0!</v>
      </c>
      <c r="S17" s="56"/>
      <c r="T17" s="57"/>
      <c r="U17" s="56"/>
      <c r="V17" s="57"/>
      <c r="W17" s="56"/>
      <c r="X17" s="40" t="e">
        <f t="shared" si="6"/>
        <v>#DIV/0!</v>
      </c>
      <c r="Y17" s="60"/>
      <c r="Z17" s="61"/>
      <c r="AA17" s="60"/>
      <c r="AB17" s="61"/>
      <c r="AC17" s="60"/>
      <c r="AD17" s="42" t="e">
        <f t="shared" si="7"/>
        <v>#DIV/0!</v>
      </c>
      <c r="AE17" s="43" t="e">
        <f t="shared" si="9"/>
        <v>#DIV/0!</v>
      </c>
      <c r="AF17" s="63"/>
      <c r="AG17" s="65" t="e">
        <f t="shared" si="8"/>
        <v>#DIV/0!</v>
      </c>
    </row>
    <row r="18" spans="1:33" ht="15.75">
      <c r="A18" s="21">
        <v>9</v>
      </c>
      <c r="B18" s="50"/>
      <c r="C18" s="51"/>
      <c r="D18" s="52"/>
      <c r="E18" s="53"/>
      <c r="F18" s="53"/>
      <c r="G18" s="52"/>
      <c r="H18" s="52"/>
      <c r="I18" s="53"/>
      <c r="J18" s="53"/>
      <c r="K18" s="52"/>
      <c r="L18" s="52"/>
      <c r="M18" s="3" t="str">
        <f t="shared" si="0"/>
        <v/>
      </c>
      <c r="N18" s="3" t="str">
        <f t="shared" si="1"/>
        <v xml:space="preserve"> </v>
      </c>
      <c r="O18" s="3" t="str">
        <f t="shared" si="2"/>
        <v/>
      </c>
      <c r="P18" s="3" t="str">
        <f t="shared" si="3"/>
        <v/>
      </c>
      <c r="Q18" s="3" t="str">
        <f t="shared" si="4"/>
        <v/>
      </c>
      <c r="R18" s="38" t="e">
        <f t="shared" si="5"/>
        <v>#DIV/0!</v>
      </c>
      <c r="S18" s="56"/>
      <c r="T18" s="57"/>
      <c r="U18" s="56"/>
      <c r="V18" s="57"/>
      <c r="W18" s="56"/>
      <c r="X18" s="40" t="e">
        <f t="shared" si="6"/>
        <v>#DIV/0!</v>
      </c>
      <c r="Y18" s="60"/>
      <c r="Z18" s="61"/>
      <c r="AA18" s="60"/>
      <c r="AB18" s="61"/>
      <c r="AC18" s="60"/>
      <c r="AD18" s="42" t="e">
        <f t="shared" si="7"/>
        <v>#DIV/0!</v>
      </c>
      <c r="AE18" s="43" t="e">
        <f t="shared" si="9"/>
        <v>#DIV/0!</v>
      </c>
      <c r="AF18" s="63"/>
      <c r="AG18" s="65" t="e">
        <f t="shared" si="8"/>
        <v>#DIV/0!</v>
      </c>
    </row>
    <row r="19" spans="1:33" ht="15.75">
      <c r="A19" s="21">
        <v>10</v>
      </c>
      <c r="B19" s="50"/>
      <c r="C19" s="51"/>
      <c r="D19" s="52"/>
      <c r="E19" s="53"/>
      <c r="F19" s="53"/>
      <c r="G19" s="52"/>
      <c r="H19" s="52"/>
      <c r="I19" s="53"/>
      <c r="J19" s="53"/>
      <c r="K19" s="52"/>
      <c r="L19" s="52"/>
      <c r="M19" s="3" t="str">
        <f t="shared" si="0"/>
        <v/>
      </c>
      <c r="N19" s="3" t="str">
        <f t="shared" si="1"/>
        <v xml:space="preserve"> </v>
      </c>
      <c r="O19" s="3" t="str">
        <f t="shared" si="2"/>
        <v/>
      </c>
      <c r="P19" s="3" t="str">
        <f t="shared" si="3"/>
        <v/>
      </c>
      <c r="Q19" s="3" t="str">
        <f t="shared" si="4"/>
        <v/>
      </c>
      <c r="R19" s="38" t="e">
        <f t="shared" si="5"/>
        <v>#DIV/0!</v>
      </c>
      <c r="S19" s="56"/>
      <c r="T19" s="57"/>
      <c r="U19" s="56"/>
      <c r="V19" s="57"/>
      <c r="W19" s="56"/>
      <c r="X19" s="40" t="e">
        <f t="shared" si="6"/>
        <v>#DIV/0!</v>
      </c>
      <c r="Y19" s="60"/>
      <c r="Z19" s="61"/>
      <c r="AA19" s="60"/>
      <c r="AB19" s="61"/>
      <c r="AC19" s="60"/>
      <c r="AD19" s="42" t="e">
        <f t="shared" si="7"/>
        <v>#DIV/0!</v>
      </c>
      <c r="AE19" s="43" t="e">
        <f t="shared" si="9"/>
        <v>#DIV/0!</v>
      </c>
      <c r="AF19" s="63"/>
      <c r="AG19" s="65" t="e">
        <f t="shared" si="8"/>
        <v>#DIV/0!</v>
      </c>
    </row>
    <row r="20" spans="1:33" ht="15.75">
      <c r="A20" s="21">
        <v>11</v>
      </c>
      <c r="B20" s="50"/>
      <c r="C20" s="51"/>
      <c r="D20" s="52"/>
      <c r="E20" s="53"/>
      <c r="F20" s="53"/>
      <c r="G20" s="52"/>
      <c r="H20" s="52"/>
      <c r="I20" s="53"/>
      <c r="J20" s="53"/>
      <c r="K20" s="52"/>
      <c r="L20" s="52"/>
      <c r="M20" s="3" t="str">
        <f t="shared" si="0"/>
        <v/>
      </c>
      <c r="N20" s="3" t="str">
        <f t="shared" si="1"/>
        <v xml:space="preserve"> </v>
      </c>
      <c r="O20" s="3" t="str">
        <f t="shared" si="2"/>
        <v/>
      </c>
      <c r="P20" s="3" t="str">
        <f t="shared" si="3"/>
        <v/>
      </c>
      <c r="Q20" s="3" t="str">
        <f t="shared" si="4"/>
        <v/>
      </c>
      <c r="R20" s="38" t="e">
        <f t="shared" si="5"/>
        <v>#DIV/0!</v>
      </c>
      <c r="S20" s="56"/>
      <c r="T20" s="57"/>
      <c r="U20" s="56"/>
      <c r="V20" s="57"/>
      <c r="W20" s="56"/>
      <c r="X20" s="40" t="e">
        <f t="shared" si="6"/>
        <v>#DIV/0!</v>
      </c>
      <c r="Y20" s="60"/>
      <c r="Z20" s="61"/>
      <c r="AA20" s="60"/>
      <c r="AB20" s="61"/>
      <c r="AC20" s="60"/>
      <c r="AD20" s="42" t="e">
        <f t="shared" si="7"/>
        <v>#DIV/0!</v>
      </c>
      <c r="AE20" s="43" t="e">
        <f t="shared" si="9"/>
        <v>#DIV/0!</v>
      </c>
      <c r="AF20" s="63"/>
      <c r="AG20" s="65" t="e">
        <f t="shared" si="8"/>
        <v>#DIV/0!</v>
      </c>
    </row>
    <row r="21" spans="1:33" ht="15.75">
      <c r="A21" s="21">
        <v>12</v>
      </c>
      <c r="B21" s="50"/>
      <c r="C21" s="51"/>
      <c r="D21" s="52"/>
      <c r="E21" s="53"/>
      <c r="F21" s="53"/>
      <c r="G21" s="52"/>
      <c r="H21" s="52"/>
      <c r="I21" s="53"/>
      <c r="J21" s="53"/>
      <c r="K21" s="52"/>
      <c r="L21" s="52"/>
      <c r="M21" s="3" t="str">
        <f t="shared" si="0"/>
        <v/>
      </c>
      <c r="N21" s="3" t="str">
        <f t="shared" si="1"/>
        <v xml:space="preserve"> </v>
      </c>
      <c r="O21" s="3" t="str">
        <f t="shared" si="2"/>
        <v/>
      </c>
      <c r="P21" s="3" t="str">
        <f t="shared" si="3"/>
        <v/>
      </c>
      <c r="Q21" s="3" t="str">
        <f t="shared" si="4"/>
        <v/>
      </c>
      <c r="R21" s="38" t="e">
        <f t="shared" si="5"/>
        <v>#DIV/0!</v>
      </c>
      <c r="S21" s="56"/>
      <c r="T21" s="57"/>
      <c r="U21" s="56"/>
      <c r="V21" s="57"/>
      <c r="W21" s="56"/>
      <c r="X21" s="40" t="e">
        <f t="shared" si="6"/>
        <v>#DIV/0!</v>
      </c>
      <c r="Y21" s="60"/>
      <c r="Z21" s="61"/>
      <c r="AA21" s="60"/>
      <c r="AB21" s="61"/>
      <c r="AC21" s="60"/>
      <c r="AD21" s="42" t="e">
        <f t="shared" si="7"/>
        <v>#DIV/0!</v>
      </c>
      <c r="AE21" s="43" t="e">
        <f t="shared" si="9"/>
        <v>#DIV/0!</v>
      </c>
      <c r="AF21" s="63"/>
      <c r="AG21" s="65" t="e">
        <f t="shared" si="8"/>
        <v>#DIV/0!</v>
      </c>
    </row>
    <row r="22" spans="1:33" ht="15.75">
      <c r="A22" s="21">
        <v>13</v>
      </c>
      <c r="B22" s="50"/>
      <c r="C22" s="51"/>
      <c r="D22" s="52"/>
      <c r="E22" s="53"/>
      <c r="F22" s="53"/>
      <c r="G22" s="52"/>
      <c r="H22" s="52"/>
      <c r="I22" s="53"/>
      <c r="J22" s="53"/>
      <c r="K22" s="52"/>
      <c r="L22" s="52"/>
      <c r="M22" s="3" t="str">
        <f t="shared" si="0"/>
        <v/>
      </c>
      <c r="N22" s="3" t="str">
        <f t="shared" si="1"/>
        <v xml:space="preserve"> </v>
      </c>
      <c r="O22" s="3" t="str">
        <f t="shared" si="2"/>
        <v/>
      </c>
      <c r="P22" s="3" t="str">
        <f t="shared" si="3"/>
        <v/>
      </c>
      <c r="Q22" s="3" t="str">
        <f t="shared" si="4"/>
        <v/>
      </c>
      <c r="R22" s="38" t="e">
        <f t="shared" si="5"/>
        <v>#DIV/0!</v>
      </c>
      <c r="S22" s="56"/>
      <c r="T22" s="57"/>
      <c r="U22" s="56"/>
      <c r="V22" s="57"/>
      <c r="W22" s="56"/>
      <c r="X22" s="40" t="e">
        <f t="shared" si="6"/>
        <v>#DIV/0!</v>
      </c>
      <c r="Y22" s="60"/>
      <c r="Z22" s="61"/>
      <c r="AA22" s="60"/>
      <c r="AB22" s="61"/>
      <c r="AC22" s="60"/>
      <c r="AD22" s="42" t="e">
        <f t="shared" si="7"/>
        <v>#DIV/0!</v>
      </c>
      <c r="AE22" s="43" t="e">
        <f t="shared" si="9"/>
        <v>#DIV/0!</v>
      </c>
      <c r="AF22" s="63"/>
      <c r="AG22" s="65" t="e">
        <f t="shared" si="8"/>
        <v>#DIV/0!</v>
      </c>
    </row>
    <row r="23" spans="1:33" ht="15.75" customHeight="1">
      <c r="A23" s="21">
        <v>14</v>
      </c>
      <c r="B23" s="50"/>
      <c r="C23" s="51"/>
      <c r="D23" s="52"/>
      <c r="E23" s="53"/>
      <c r="F23" s="53"/>
      <c r="G23" s="52"/>
      <c r="H23" s="52"/>
      <c r="I23" s="53"/>
      <c r="J23" s="53"/>
      <c r="K23" s="52"/>
      <c r="L23" s="52"/>
      <c r="M23" s="3" t="str">
        <f t="shared" si="0"/>
        <v/>
      </c>
      <c r="N23" s="3" t="str">
        <f t="shared" si="1"/>
        <v xml:space="preserve"> </v>
      </c>
      <c r="O23" s="3" t="str">
        <f t="shared" si="2"/>
        <v/>
      </c>
      <c r="P23" s="3" t="str">
        <f t="shared" si="3"/>
        <v/>
      </c>
      <c r="Q23" s="3" t="str">
        <f t="shared" si="4"/>
        <v/>
      </c>
      <c r="R23" s="38" t="e">
        <f t="shared" si="5"/>
        <v>#DIV/0!</v>
      </c>
      <c r="S23" s="56"/>
      <c r="T23" s="57"/>
      <c r="U23" s="56"/>
      <c r="V23" s="57"/>
      <c r="W23" s="56"/>
      <c r="X23" s="40" t="e">
        <f t="shared" si="6"/>
        <v>#DIV/0!</v>
      </c>
      <c r="Y23" s="60"/>
      <c r="Z23" s="61"/>
      <c r="AA23" s="60"/>
      <c r="AB23" s="61"/>
      <c r="AC23" s="60"/>
      <c r="AD23" s="42" t="e">
        <f t="shared" si="7"/>
        <v>#DIV/0!</v>
      </c>
      <c r="AE23" s="43" t="e">
        <f t="shared" si="9"/>
        <v>#DIV/0!</v>
      </c>
      <c r="AF23" s="63"/>
      <c r="AG23" s="65" t="e">
        <f t="shared" si="8"/>
        <v>#DIV/0!</v>
      </c>
    </row>
    <row r="24" spans="1:33" ht="15.75" customHeight="1">
      <c r="A24" s="21">
        <v>15</v>
      </c>
      <c r="B24" s="50"/>
      <c r="C24" s="51"/>
      <c r="D24" s="52"/>
      <c r="E24" s="53"/>
      <c r="F24" s="53"/>
      <c r="G24" s="52"/>
      <c r="H24" s="52"/>
      <c r="I24" s="53"/>
      <c r="J24" s="53"/>
      <c r="K24" s="52"/>
      <c r="L24" s="52"/>
      <c r="M24" s="3" t="str">
        <f t="shared" si="0"/>
        <v/>
      </c>
      <c r="N24" s="3" t="str">
        <f t="shared" si="1"/>
        <v xml:space="preserve"> </v>
      </c>
      <c r="O24" s="3" t="str">
        <f t="shared" si="2"/>
        <v/>
      </c>
      <c r="P24" s="3" t="str">
        <f t="shared" si="3"/>
        <v/>
      </c>
      <c r="Q24" s="3" t="str">
        <f t="shared" si="4"/>
        <v/>
      </c>
      <c r="R24" s="38" t="e">
        <f t="shared" si="5"/>
        <v>#DIV/0!</v>
      </c>
      <c r="S24" s="56"/>
      <c r="T24" s="57"/>
      <c r="U24" s="56"/>
      <c r="V24" s="57"/>
      <c r="W24" s="56"/>
      <c r="X24" s="40" t="e">
        <f t="shared" si="6"/>
        <v>#DIV/0!</v>
      </c>
      <c r="Y24" s="60"/>
      <c r="Z24" s="61"/>
      <c r="AA24" s="60"/>
      <c r="AB24" s="61"/>
      <c r="AC24" s="60"/>
      <c r="AD24" s="42" t="e">
        <f t="shared" si="7"/>
        <v>#DIV/0!</v>
      </c>
      <c r="AE24" s="43" t="e">
        <f t="shared" si="9"/>
        <v>#DIV/0!</v>
      </c>
      <c r="AF24" s="63"/>
      <c r="AG24" s="65" t="e">
        <f t="shared" si="8"/>
        <v>#DIV/0!</v>
      </c>
    </row>
    <row r="25" spans="1:33" ht="15.75" customHeight="1">
      <c r="A25" s="21">
        <v>16</v>
      </c>
      <c r="B25" s="50"/>
      <c r="C25" s="51"/>
      <c r="D25" s="52"/>
      <c r="E25" s="53"/>
      <c r="F25" s="53"/>
      <c r="G25" s="52"/>
      <c r="H25" s="52"/>
      <c r="I25" s="53"/>
      <c r="J25" s="53"/>
      <c r="K25" s="52"/>
      <c r="L25" s="52"/>
      <c r="M25" s="3" t="str">
        <f t="shared" si="0"/>
        <v/>
      </c>
      <c r="N25" s="3" t="str">
        <f t="shared" si="1"/>
        <v xml:space="preserve"> </v>
      </c>
      <c r="O25" s="3" t="str">
        <f t="shared" si="2"/>
        <v/>
      </c>
      <c r="P25" s="3" t="str">
        <f t="shared" si="3"/>
        <v/>
      </c>
      <c r="Q25" s="3" t="str">
        <f t="shared" si="4"/>
        <v/>
      </c>
      <c r="R25" s="38" t="e">
        <f t="shared" si="5"/>
        <v>#DIV/0!</v>
      </c>
      <c r="S25" s="56"/>
      <c r="T25" s="57"/>
      <c r="U25" s="56"/>
      <c r="V25" s="57"/>
      <c r="W25" s="56"/>
      <c r="X25" s="40" t="e">
        <f t="shared" si="6"/>
        <v>#DIV/0!</v>
      </c>
      <c r="Y25" s="60"/>
      <c r="Z25" s="61"/>
      <c r="AA25" s="60"/>
      <c r="AB25" s="61"/>
      <c r="AC25" s="60"/>
      <c r="AD25" s="42" t="e">
        <f t="shared" si="7"/>
        <v>#DIV/0!</v>
      </c>
      <c r="AE25" s="43" t="e">
        <f t="shared" si="9"/>
        <v>#DIV/0!</v>
      </c>
      <c r="AF25" s="63"/>
      <c r="AG25" s="65" t="e">
        <f t="shared" si="8"/>
        <v>#DIV/0!</v>
      </c>
    </row>
    <row r="26" spans="1:33" ht="15.75" customHeight="1">
      <c r="A26" s="21">
        <v>17</v>
      </c>
      <c r="B26" s="50"/>
      <c r="C26" s="51"/>
      <c r="D26" s="52"/>
      <c r="E26" s="53"/>
      <c r="F26" s="53"/>
      <c r="G26" s="52"/>
      <c r="H26" s="52"/>
      <c r="I26" s="53"/>
      <c r="J26" s="53"/>
      <c r="K26" s="52"/>
      <c r="L26" s="52"/>
      <c r="M26" s="3" t="str">
        <f t="shared" si="0"/>
        <v/>
      </c>
      <c r="N26" s="3" t="str">
        <f t="shared" si="1"/>
        <v xml:space="preserve"> </v>
      </c>
      <c r="O26" s="3" t="str">
        <f t="shared" si="2"/>
        <v/>
      </c>
      <c r="P26" s="3" t="str">
        <f t="shared" si="3"/>
        <v/>
      </c>
      <c r="Q26" s="3" t="str">
        <f t="shared" si="4"/>
        <v/>
      </c>
      <c r="R26" s="38" t="e">
        <f t="shared" si="5"/>
        <v>#DIV/0!</v>
      </c>
      <c r="S26" s="56"/>
      <c r="T26" s="57"/>
      <c r="U26" s="56"/>
      <c r="V26" s="57"/>
      <c r="W26" s="56"/>
      <c r="X26" s="40" t="e">
        <f t="shared" si="6"/>
        <v>#DIV/0!</v>
      </c>
      <c r="Y26" s="60"/>
      <c r="Z26" s="61"/>
      <c r="AA26" s="60"/>
      <c r="AB26" s="61"/>
      <c r="AC26" s="60"/>
      <c r="AD26" s="42" t="e">
        <f t="shared" si="7"/>
        <v>#DIV/0!</v>
      </c>
      <c r="AE26" s="43" t="e">
        <f t="shared" si="9"/>
        <v>#DIV/0!</v>
      </c>
      <c r="AF26" s="63"/>
      <c r="AG26" s="65" t="e">
        <f t="shared" si="8"/>
        <v>#DIV/0!</v>
      </c>
    </row>
    <row r="27" spans="1:33" ht="15.75" customHeight="1">
      <c r="A27" s="21">
        <v>18</v>
      </c>
      <c r="B27" s="50"/>
      <c r="C27" s="51"/>
      <c r="D27" s="52"/>
      <c r="E27" s="53"/>
      <c r="F27" s="53"/>
      <c r="G27" s="52"/>
      <c r="H27" s="52"/>
      <c r="I27" s="53"/>
      <c r="J27" s="53"/>
      <c r="K27" s="52"/>
      <c r="L27" s="52"/>
      <c r="M27" s="3" t="str">
        <f t="shared" si="0"/>
        <v/>
      </c>
      <c r="N27" s="3" t="str">
        <f t="shared" si="1"/>
        <v xml:space="preserve"> </v>
      </c>
      <c r="O27" s="3" t="str">
        <f t="shared" si="2"/>
        <v/>
      </c>
      <c r="P27" s="3" t="str">
        <f t="shared" si="3"/>
        <v/>
      </c>
      <c r="Q27" s="3" t="str">
        <f t="shared" si="4"/>
        <v/>
      </c>
      <c r="R27" s="38" t="e">
        <f t="shared" si="5"/>
        <v>#DIV/0!</v>
      </c>
      <c r="S27" s="56"/>
      <c r="T27" s="57"/>
      <c r="U27" s="56"/>
      <c r="V27" s="57"/>
      <c r="W27" s="56"/>
      <c r="X27" s="40" t="e">
        <f t="shared" si="6"/>
        <v>#DIV/0!</v>
      </c>
      <c r="Y27" s="60"/>
      <c r="Z27" s="61"/>
      <c r="AA27" s="60"/>
      <c r="AB27" s="61"/>
      <c r="AC27" s="60"/>
      <c r="AD27" s="42" t="e">
        <f t="shared" si="7"/>
        <v>#DIV/0!</v>
      </c>
      <c r="AE27" s="43" t="e">
        <f t="shared" si="9"/>
        <v>#DIV/0!</v>
      </c>
      <c r="AF27" s="63"/>
      <c r="AG27" s="65" t="e">
        <f t="shared" si="8"/>
        <v>#DIV/0!</v>
      </c>
    </row>
    <row r="28" spans="1:33" ht="15.75" customHeight="1">
      <c r="A28" s="21">
        <v>19</v>
      </c>
      <c r="B28" s="50"/>
      <c r="C28" s="51"/>
      <c r="D28" s="52"/>
      <c r="E28" s="53"/>
      <c r="F28" s="53"/>
      <c r="G28" s="52"/>
      <c r="H28" s="52"/>
      <c r="I28" s="53"/>
      <c r="J28" s="53"/>
      <c r="K28" s="52"/>
      <c r="L28" s="52"/>
      <c r="M28" s="3" t="str">
        <f t="shared" si="0"/>
        <v/>
      </c>
      <c r="N28" s="3" t="str">
        <f t="shared" si="1"/>
        <v xml:space="preserve"> </v>
      </c>
      <c r="O28" s="3" t="str">
        <f t="shared" si="2"/>
        <v/>
      </c>
      <c r="P28" s="3" t="str">
        <f t="shared" si="3"/>
        <v/>
      </c>
      <c r="Q28" s="3" t="str">
        <f t="shared" si="4"/>
        <v/>
      </c>
      <c r="R28" s="38" t="e">
        <f t="shared" si="5"/>
        <v>#DIV/0!</v>
      </c>
      <c r="S28" s="56"/>
      <c r="T28" s="57"/>
      <c r="U28" s="56"/>
      <c r="V28" s="57"/>
      <c r="W28" s="56"/>
      <c r="X28" s="40" t="e">
        <f t="shared" si="6"/>
        <v>#DIV/0!</v>
      </c>
      <c r="Y28" s="60"/>
      <c r="Z28" s="61"/>
      <c r="AA28" s="60"/>
      <c r="AB28" s="61"/>
      <c r="AC28" s="60"/>
      <c r="AD28" s="42" t="e">
        <f t="shared" si="7"/>
        <v>#DIV/0!</v>
      </c>
      <c r="AE28" s="43" t="e">
        <f t="shared" si="9"/>
        <v>#DIV/0!</v>
      </c>
      <c r="AF28" s="63"/>
      <c r="AG28" s="65" t="e">
        <f t="shared" si="8"/>
        <v>#DIV/0!</v>
      </c>
    </row>
    <row r="29" spans="1:33" ht="15.75" customHeight="1">
      <c r="A29" s="21">
        <v>20</v>
      </c>
      <c r="B29" s="50"/>
      <c r="C29" s="51"/>
      <c r="D29" s="52"/>
      <c r="E29" s="53"/>
      <c r="F29" s="53"/>
      <c r="G29" s="52"/>
      <c r="H29" s="52"/>
      <c r="I29" s="53"/>
      <c r="J29" s="53"/>
      <c r="K29" s="52"/>
      <c r="L29" s="52"/>
      <c r="M29" s="3" t="str">
        <f t="shared" si="0"/>
        <v/>
      </c>
      <c r="N29" s="3" t="str">
        <f t="shared" si="1"/>
        <v xml:space="preserve"> </v>
      </c>
      <c r="O29" s="3" t="str">
        <f t="shared" si="2"/>
        <v/>
      </c>
      <c r="P29" s="3" t="str">
        <f t="shared" si="3"/>
        <v/>
      </c>
      <c r="Q29" s="3" t="str">
        <f t="shared" si="4"/>
        <v/>
      </c>
      <c r="R29" s="38" t="e">
        <f t="shared" si="5"/>
        <v>#DIV/0!</v>
      </c>
      <c r="S29" s="56"/>
      <c r="T29" s="57"/>
      <c r="U29" s="56"/>
      <c r="V29" s="57"/>
      <c r="W29" s="56"/>
      <c r="X29" s="40" t="e">
        <f t="shared" si="6"/>
        <v>#DIV/0!</v>
      </c>
      <c r="Y29" s="60"/>
      <c r="Z29" s="61"/>
      <c r="AA29" s="60"/>
      <c r="AB29" s="61"/>
      <c r="AC29" s="60"/>
      <c r="AD29" s="42" t="e">
        <f t="shared" si="7"/>
        <v>#DIV/0!</v>
      </c>
      <c r="AE29" s="43" t="e">
        <f t="shared" si="9"/>
        <v>#DIV/0!</v>
      </c>
      <c r="AF29" s="63"/>
      <c r="AG29" s="65" t="e">
        <f t="shared" si="8"/>
        <v>#DIV/0!</v>
      </c>
    </row>
    <row r="30" spans="1:33" ht="15.75" customHeight="1">
      <c r="A30" s="21">
        <v>21</v>
      </c>
      <c r="B30" s="50"/>
      <c r="C30" s="51"/>
      <c r="D30" s="52"/>
      <c r="E30" s="53"/>
      <c r="F30" s="53"/>
      <c r="G30" s="52"/>
      <c r="H30" s="52"/>
      <c r="I30" s="53"/>
      <c r="J30" s="53"/>
      <c r="K30" s="52"/>
      <c r="L30" s="52"/>
      <c r="M30" s="3" t="str">
        <f t="shared" si="0"/>
        <v/>
      </c>
      <c r="N30" s="3" t="str">
        <f t="shared" si="1"/>
        <v xml:space="preserve"> </v>
      </c>
      <c r="O30" s="3" t="str">
        <f t="shared" si="2"/>
        <v/>
      </c>
      <c r="P30" s="3" t="str">
        <f t="shared" si="3"/>
        <v/>
      </c>
      <c r="Q30" s="3" t="str">
        <f t="shared" si="4"/>
        <v/>
      </c>
      <c r="R30" s="38" t="e">
        <f t="shared" si="5"/>
        <v>#DIV/0!</v>
      </c>
      <c r="S30" s="56"/>
      <c r="T30" s="57"/>
      <c r="U30" s="56"/>
      <c r="V30" s="57"/>
      <c r="W30" s="56"/>
      <c r="X30" s="40" t="e">
        <f t="shared" si="6"/>
        <v>#DIV/0!</v>
      </c>
      <c r="Y30" s="60"/>
      <c r="Z30" s="61"/>
      <c r="AA30" s="60"/>
      <c r="AB30" s="61"/>
      <c r="AC30" s="60"/>
      <c r="AD30" s="42" t="e">
        <f t="shared" si="7"/>
        <v>#DIV/0!</v>
      </c>
      <c r="AE30" s="43" t="e">
        <f t="shared" si="9"/>
        <v>#DIV/0!</v>
      </c>
      <c r="AF30" s="63"/>
      <c r="AG30" s="65" t="e">
        <f t="shared" si="8"/>
        <v>#DIV/0!</v>
      </c>
    </row>
    <row r="31" spans="1:33" ht="15.75" customHeight="1">
      <c r="A31" s="21">
        <v>22</v>
      </c>
      <c r="B31" s="50"/>
      <c r="C31" s="51"/>
      <c r="D31" s="52"/>
      <c r="E31" s="53"/>
      <c r="F31" s="53"/>
      <c r="G31" s="52"/>
      <c r="H31" s="52"/>
      <c r="I31" s="53"/>
      <c r="J31" s="53"/>
      <c r="K31" s="52"/>
      <c r="L31" s="52"/>
      <c r="M31" s="3" t="str">
        <f t="shared" si="0"/>
        <v/>
      </c>
      <c r="N31" s="3" t="str">
        <f t="shared" si="1"/>
        <v xml:space="preserve"> </v>
      </c>
      <c r="O31" s="3" t="str">
        <f t="shared" si="2"/>
        <v/>
      </c>
      <c r="P31" s="3" t="str">
        <f t="shared" si="3"/>
        <v/>
      </c>
      <c r="Q31" s="3" t="str">
        <f t="shared" si="4"/>
        <v/>
      </c>
      <c r="R31" s="38" t="e">
        <f t="shared" si="5"/>
        <v>#DIV/0!</v>
      </c>
      <c r="S31" s="56"/>
      <c r="T31" s="57"/>
      <c r="U31" s="56"/>
      <c r="V31" s="57"/>
      <c r="W31" s="56"/>
      <c r="X31" s="40" t="e">
        <f t="shared" si="6"/>
        <v>#DIV/0!</v>
      </c>
      <c r="Y31" s="60"/>
      <c r="Z31" s="61"/>
      <c r="AA31" s="60"/>
      <c r="AB31" s="61"/>
      <c r="AC31" s="60"/>
      <c r="AD31" s="42" t="e">
        <f t="shared" si="7"/>
        <v>#DIV/0!</v>
      </c>
      <c r="AE31" s="43" t="e">
        <f t="shared" si="9"/>
        <v>#DIV/0!</v>
      </c>
      <c r="AF31" s="63"/>
      <c r="AG31" s="65" t="e">
        <f t="shared" si="8"/>
        <v>#DIV/0!</v>
      </c>
    </row>
    <row r="32" spans="1:33" ht="15.75" customHeight="1">
      <c r="A32" s="21">
        <v>23</v>
      </c>
      <c r="B32" s="50"/>
      <c r="C32" s="51"/>
      <c r="D32" s="52"/>
      <c r="E32" s="53"/>
      <c r="F32" s="53"/>
      <c r="G32" s="52"/>
      <c r="H32" s="52"/>
      <c r="I32" s="53"/>
      <c r="J32" s="53"/>
      <c r="K32" s="52"/>
      <c r="L32" s="52"/>
      <c r="M32" s="3" t="str">
        <f t="shared" si="0"/>
        <v/>
      </c>
      <c r="N32" s="3" t="str">
        <f t="shared" si="1"/>
        <v xml:space="preserve"> </v>
      </c>
      <c r="O32" s="3" t="str">
        <f t="shared" si="2"/>
        <v/>
      </c>
      <c r="P32" s="3" t="str">
        <f t="shared" si="3"/>
        <v/>
      </c>
      <c r="Q32" s="3" t="str">
        <f t="shared" si="4"/>
        <v/>
      </c>
      <c r="R32" s="38" t="e">
        <f t="shared" si="5"/>
        <v>#DIV/0!</v>
      </c>
      <c r="S32" s="56"/>
      <c r="T32" s="57"/>
      <c r="U32" s="56"/>
      <c r="V32" s="57"/>
      <c r="W32" s="56"/>
      <c r="X32" s="40" t="e">
        <f t="shared" si="6"/>
        <v>#DIV/0!</v>
      </c>
      <c r="Y32" s="60"/>
      <c r="Z32" s="61"/>
      <c r="AA32" s="60"/>
      <c r="AB32" s="61"/>
      <c r="AC32" s="60"/>
      <c r="AD32" s="42" t="e">
        <f t="shared" si="7"/>
        <v>#DIV/0!</v>
      </c>
      <c r="AE32" s="43" t="e">
        <f t="shared" si="9"/>
        <v>#DIV/0!</v>
      </c>
      <c r="AF32" s="63"/>
      <c r="AG32" s="65" t="e">
        <f t="shared" si="8"/>
        <v>#DIV/0!</v>
      </c>
    </row>
    <row r="33" spans="1:33" ht="15.75" customHeight="1">
      <c r="A33" s="21">
        <v>24</v>
      </c>
      <c r="B33" s="50"/>
      <c r="C33" s="51"/>
      <c r="D33" s="52"/>
      <c r="E33" s="53"/>
      <c r="F33" s="53"/>
      <c r="G33" s="52"/>
      <c r="H33" s="52"/>
      <c r="I33" s="53"/>
      <c r="J33" s="53"/>
      <c r="K33" s="52"/>
      <c r="L33" s="52"/>
      <c r="M33" s="3" t="str">
        <f t="shared" si="0"/>
        <v/>
      </c>
      <c r="N33" s="3" t="str">
        <f t="shared" si="1"/>
        <v xml:space="preserve"> </v>
      </c>
      <c r="O33" s="3" t="str">
        <f t="shared" si="2"/>
        <v/>
      </c>
      <c r="P33" s="3" t="str">
        <f t="shared" si="3"/>
        <v/>
      </c>
      <c r="Q33" s="3" t="str">
        <f t="shared" si="4"/>
        <v/>
      </c>
      <c r="R33" s="38" t="e">
        <f t="shared" si="5"/>
        <v>#DIV/0!</v>
      </c>
      <c r="S33" s="56"/>
      <c r="T33" s="57"/>
      <c r="U33" s="56"/>
      <c r="V33" s="57"/>
      <c r="W33" s="56"/>
      <c r="X33" s="40" t="e">
        <f t="shared" si="6"/>
        <v>#DIV/0!</v>
      </c>
      <c r="Y33" s="60"/>
      <c r="Z33" s="61"/>
      <c r="AA33" s="60"/>
      <c r="AB33" s="61"/>
      <c r="AC33" s="60"/>
      <c r="AD33" s="42" t="e">
        <f t="shared" si="7"/>
        <v>#DIV/0!</v>
      </c>
      <c r="AE33" s="43" t="e">
        <f t="shared" si="9"/>
        <v>#DIV/0!</v>
      </c>
      <c r="AF33" s="63"/>
      <c r="AG33" s="65" t="e">
        <f t="shared" si="8"/>
        <v>#DIV/0!</v>
      </c>
    </row>
    <row r="34" spans="1:33" ht="15.75" customHeight="1">
      <c r="A34" s="21">
        <v>25</v>
      </c>
      <c r="B34" s="50"/>
      <c r="C34" s="51"/>
      <c r="D34" s="52"/>
      <c r="E34" s="53"/>
      <c r="F34" s="53"/>
      <c r="G34" s="52"/>
      <c r="H34" s="52"/>
      <c r="I34" s="53"/>
      <c r="J34" s="53"/>
      <c r="K34" s="52"/>
      <c r="L34" s="52"/>
      <c r="M34" s="3" t="str">
        <f t="shared" si="0"/>
        <v/>
      </c>
      <c r="N34" s="3" t="str">
        <f t="shared" si="1"/>
        <v xml:space="preserve"> </v>
      </c>
      <c r="O34" s="3" t="str">
        <f t="shared" si="2"/>
        <v/>
      </c>
      <c r="P34" s="3" t="str">
        <f t="shared" si="3"/>
        <v/>
      </c>
      <c r="Q34" s="3" t="str">
        <f t="shared" si="4"/>
        <v/>
      </c>
      <c r="R34" s="38" t="e">
        <f t="shared" si="5"/>
        <v>#DIV/0!</v>
      </c>
      <c r="S34" s="56"/>
      <c r="T34" s="57"/>
      <c r="U34" s="56"/>
      <c r="V34" s="57"/>
      <c r="W34" s="56"/>
      <c r="X34" s="40" t="e">
        <f t="shared" si="6"/>
        <v>#DIV/0!</v>
      </c>
      <c r="Y34" s="60"/>
      <c r="Z34" s="61"/>
      <c r="AA34" s="60"/>
      <c r="AB34" s="61"/>
      <c r="AC34" s="60"/>
      <c r="AD34" s="42" t="e">
        <f t="shared" si="7"/>
        <v>#DIV/0!</v>
      </c>
      <c r="AE34" s="43" t="e">
        <f t="shared" si="9"/>
        <v>#DIV/0!</v>
      </c>
      <c r="AF34" s="63"/>
      <c r="AG34" s="65" t="e">
        <f t="shared" si="8"/>
        <v>#DIV/0!</v>
      </c>
    </row>
    <row r="35" spans="1:33" ht="15.75" customHeight="1">
      <c r="A35" s="21">
        <v>26</v>
      </c>
      <c r="B35" s="50"/>
      <c r="C35" s="51"/>
      <c r="D35" s="52"/>
      <c r="E35" s="53"/>
      <c r="F35" s="53"/>
      <c r="G35" s="52"/>
      <c r="H35" s="52"/>
      <c r="I35" s="53"/>
      <c r="J35" s="53"/>
      <c r="K35" s="52"/>
      <c r="L35" s="52"/>
      <c r="M35" s="3" t="str">
        <f t="shared" si="0"/>
        <v/>
      </c>
      <c r="N35" s="3" t="str">
        <f t="shared" si="1"/>
        <v xml:space="preserve"> </v>
      </c>
      <c r="O35" s="3" t="str">
        <f t="shared" si="2"/>
        <v/>
      </c>
      <c r="P35" s="3" t="str">
        <f t="shared" si="3"/>
        <v/>
      </c>
      <c r="Q35" s="3" t="str">
        <f t="shared" si="4"/>
        <v/>
      </c>
      <c r="R35" s="38" t="e">
        <f t="shared" si="5"/>
        <v>#DIV/0!</v>
      </c>
      <c r="S35" s="56"/>
      <c r="T35" s="57"/>
      <c r="U35" s="56"/>
      <c r="V35" s="57"/>
      <c r="W35" s="56"/>
      <c r="X35" s="40" t="e">
        <f t="shared" si="6"/>
        <v>#DIV/0!</v>
      </c>
      <c r="Y35" s="60"/>
      <c r="Z35" s="61"/>
      <c r="AA35" s="60"/>
      <c r="AB35" s="61"/>
      <c r="AC35" s="60"/>
      <c r="AD35" s="42" t="e">
        <f t="shared" si="7"/>
        <v>#DIV/0!</v>
      </c>
      <c r="AE35" s="43" t="e">
        <f t="shared" si="9"/>
        <v>#DIV/0!</v>
      </c>
      <c r="AF35" s="63"/>
      <c r="AG35" s="65" t="e">
        <f t="shared" si="8"/>
        <v>#DIV/0!</v>
      </c>
    </row>
    <row r="36" spans="1:33" ht="15.75" customHeight="1">
      <c r="A36" s="21">
        <v>27</v>
      </c>
      <c r="B36" s="50"/>
      <c r="C36" s="51"/>
      <c r="D36" s="52"/>
      <c r="E36" s="53"/>
      <c r="F36" s="53"/>
      <c r="G36" s="52"/>
      <c r="H36" s="52"/>
      <c r="I36" s="53"/>
      <c r="J36" s="53"/>
      <c r="K36" s="52"/>
      <c r="L36" s="52"/>
      <c r="M36" s="3" t="str">
        <f t="shared" si="0"/>
        <v/>
      </c>
      <c r="N36" s="3" t="str">
        <f t="shared" si="1"/>
        <v xml:space="preserve"> </v>
      </c>
      <c r="O36" s="3" t="str">
        <f t="shared" si="2"/>
        <v/>
      </c>
      <c r="P36" s="3" t="str">
        <f t="shared" si="3"/>
        <v/>
      </c>
      <c r="Q36" s="3" t="str">
        <f t="shared" si="4"/>
        <v/>
      </c>
      <c r="R36" s="38" t="e">
        <f t="shared" si="5"/>
        <v>#DIV/0!</v>
      </c>
      <c r="S36" s="56"/>
      <c r="T36" s="57"/>
      <c r="U36" s="56"/>
      <c r="V36" s="57"/>
      <c r="W36" s="56"/>
      <c r="X36" s="40" t="e">
        <f t="shared" si="6"/>
        <v>#DIV/0!</v>
      </c>
      <c r="Y36" s="60"/>
      <c r="Z36" s="61"/>
      <c r="AA36" s="60"/>
      <c r="AB36" s="61"/>
      <c r="AC36" s="60"/>
      <c r="AD36" s="42" t="e">
        <f t="shared" si="7"/>
        <v>#DIV/0!</v>
      </c>
      <c r="AE36" s="43" t="e">
        <f t="shared" si="9"/>
        <v>#DIV/0!</v>
      </c>
      <c r="AF36" s="63"/>
      <c r="AG36" s="65" t="e">
        <f t="shared" si="8"/>
        <v>#DIV/0!</v>
      </c>
    </row>
    <row r="37" spans="1:33" ht="15.75" customHeight="1">
      <c r="A37" s="21">
        <v>28</v>
      </c>
      <c r="B37" s="50"/>
      <c r="C37" s="51"/>
      <c r="D37" s="52"/>
      <c r="E37" s="53"/>
      <c r="F37" s="53"/>
      <c r="G37" s="52"/>
      <c r="H37" s="52"/>
      <c r="I37" s="53"/>
      <c r="J37" s="53"/>
      <c r="K37" s="52"/>
      <c r="L37" s="52"/>
      <c r="M37" s="3" t="str">
        <f t="shared" si="0"/>
        <v/>
      </c>
      <c r="N37" s="3" t="str">
        <f t="shared" si="1"/>
        <v xml:space="preserve"> </v>
      </c>
      <c r="O37" s="3" t="str">
        <f t="shared" si="2"/>
        <v/>
      </c>
      <c r="P37" s="3" t="str">
        <f t="shared" si="3"/>
        <v/>
      </c>
      <c r="Q37" s="3" t="str">
        <f t="shared" si="4"/>
        <v/>
      </c>
      <c r="R37" s="38" t="e">
        <f t="shared" si="5"/>
        <v>#DIV/0!</v>
      </c>
      <c r="S37" s="56"/>
      <c r="T37" s="57"/>
      <c r="U37" s="56"/>
      <c r="V37" s="57"/>
      <c r="W37" s="56"/>
      <c r="X37" s="40" t="e">
        <f t="shared" si="6"/>
        <v>#DIV/0!</v>
      </c>
      <c r="Y37" s="60"/>
      <c r="Z37" s="61"/>
      <c r="AA37" s="60"/>
      <c r="AB37" s="61"/>
      <c r="AC37" s="60"/>
      <c r="AD37" s="42" t="e">
        <f t="shared" si="7"/>
        <v>#DIV/0!</v>
      </c>
      <c r="AE37" s="43" t="e">
        <f t="shared" si="9"/>
        <v>#DIV/0!</v>
      </c>
      <c r="AF37" s="63"/>
      <c r="AG37" s="65" t="e">
        <f t="shared" si="8"/>
        <v>#DIV/0!</v>
      </c>
    </row>
    <row r="38" spans="1:33" ht="15.75" customHeight="1">
      <c r="A38" s="21">
        <v>29</v>
      </c>
      <c r="B38" s="50"/>
      <c r="C38" s="51"/>
      <c r="D38" s="52"/>
      <c r="E38" s="53"/>
      <c r="F38" s="53"/>
      <c r="G38" s="52"/>
      <c r="H38" s="52"/>
      <c r="I38" s="53"/>
      <c r="J38" s="53"/>
      <c r="K38" s="52"/>
      <c r="L38" s="52"/>
      <c r="M38" s="3" t="str">
        <f t="shared" si="0"/>
        <v/>
      </c>
      <c r="N38" s="3" t="str">
        <f t="shared" si="1"/>
        <v xml:space="preserve"> </v>
      </c>
      <c r="O38" s="3" t="str">
        <f t="shared" si="2"/>
        <v/>
      </c>
      <c r="P38" s="3" t="str">
        <f t="shared" si="3"/>
        <v/>
      </c>
      <c r="Q38" s="3" t="str">
        <f t="shared" si="4"/>
        <v/>
      </c>
      <c r="R38" s="38" t="e">
        <f t="shared" si="5"/>
        <v>#DIV/0!</v>
      </c>
      <c r="S38" s="56"/>
      <c r="T38" s="57"/>
      <c r="U38" s="56"/>
      <c r="V38" s="57"/>
      <c r="W38" s="56"/>
      <c r="X38" s="40" t="e">
        <f t="shared" si="6"/>
        <v>#DIV/0!</v>
      </c>
      <c r="Y38" s="60"/>
      <c r="Z38" s="61"/>
      <c r="AA38" s="60"/>
      <c r="AB38" s="61"/>
      <c r="AC38" s="60"/>
      <c r="AD38" s="42" t="e">
        <f t="shared" si="7"/>
        <v>#DIV/0!</v>
      </c>
      <c r="AE38" s="43" t="e">
        <f t="shared" si="9"/>
        <v>#DIV/0!</v>
      </c>
      <c r="AF38" s="63"/>
      <c r="AG38" s="65" t="e">
        <f t="shared" si="8"/>
        <v>#DIV/0!</v>
      </c>
    </row>
    <row r="39" spans="1:33" ht="15.75" customHeight="1">
      <c r="A39" s="21">
        <v>30</v>
      </c>
      <c r="B39" s="50"/>
      <c r="C39" s="51"/>
      <c r="D39" s="52"/>
      <c r="E39" s="53"/>
      <c r="F39" s="53"/>
      <c r="G39" s="52"/>
      <c r="H39" s="52"/>
      <c r="I39" s="53"/>
      <c r="J39" s="53"/>
      <c r="K39" s="52"/>
      <c r="L39" s="52"/>
      <c r="M39" s="3" t="str">
        <f t="shared" si="0"/>
        <v/>
      </c>
      <c r="N39" s="3" t="str">
        <f t="shared" si="1"/>
        <v xml:space="preserve"> </v>
      </c>
      <c r="O39" s="3" t="str">
        <f t="shared" si="2"/>
        <v/>
      </c>
      <c r="P39" s="3" t="str">
        <f t="shared" si="3"/>
        <v/>
      </c>
      <c r="Q39" s="3" t="str">
        <f t="shared" si="4"/>
        <v/>
      </c>
      <c r="R39" s="38" t="e">
        <f t="shared" si="5"/>
        <v>#DIV/0!</v>
      </c>
      <c r="S39" s="56"/>
      <c r="T39" s="57"/>
      <c r="U39" s="56"/>
      <c r="V39" s="57"/>
      <c r="W39" s="56"/>
      <c r="X39" s="40" t="e">
        <f t="shared" si="6"/>
        <v>#DIV/0!</v>
      </c>
      <c r="Y39" s="60"/>
      <c r="Z39" s="61"/>
      <c r="AA39" s="60"/>
      <c r="AB39" s="61"/>
      <c r="AC39" s="60"/>
      <c r="AD39" s="42" t="e">
        <f t="shared" si="7"/>
        <v>#DIV/0!</v>
      </c>
      <c r="AE39" s="43" t="e">
        <f t="shared" si="9"/>
        <v>#DIV/0!</v>
      </c>
      <c r="AF39" s="63"/>
      <c r="AG39" s="65" t="e">
        <f t="shared" si="8"/>
        <v>#DIV/0!</v>
      </c>
    </row>
    <row r="40" spans="1:33" ht="15.75" customHeight="1">
      <c r="A40" s="21">
        <v>31</v>
      </c>
      <c r="B40" s="50"/>
      <c r="C40" s="51"/>
      <c r="D40" s="52"/>
      <c r="E40" s="53"/>
      <c r="F40" s="53"/>
      <c r="G40" s="52"/>
      <c r="H40" s="52"/>
      <c r="I40" s="53"/>
      <c r="J40" s="53"/>
      <c r="K40" s="52"/>
      <c r="L40" s="52"/>
      <c r="M40" s="3" t="str">
        <f t="shared" si="0"/>
        <v/>
      </c>
      <c r="N40" s="3" t="str">
        <f t="shared" si="1"/>
        <v xml:space="preserve"> </v>
      </c>
      <c r="O40" s="3" t="str">
        <f t="shared" si="2"/>
        <v/>
      </c>
      <c r="P40" s="3" t="str">
        <f t="shared" si="3"/>
        <v/>
      </c>
      <c r="Q40" s="3" t="str">
        <f t="shared" si="4"/>
        <v/>
      </c>
      <c r="R40" s="38" t="e">
        <f t="shared" si="5"/>
        <v>#DIV/0!</v>
      </c>
      <c r="S40" s="56"/>
      <c r="T40" s="57"/>
      <c r="U40" s="56"/>
      <c r="V40" s="57"/>
      <c r="W40" s="56"/>
      <c r="X40" s="40" t="e">
        <f t="shared" si="6"/>
        <v>#DIV/0!</v>
      </c>
      <c r="Y40" s="60"/>
      <c r="Z40" s="61"/>
      <c r="AA40" s="60"/>
      <c r="AB40" s="61"/>
      <c r="AC40" s="60"/>
      <c r="AD40" s="42" t="e">
        <f t="shared" si="7"/>
        <v>#DIV/0!</v>
      </c>
      <c r="AE40" s="43" t="e">
        <f t="shared" si="9"/>
        <v>#DIV/0!</v>
      </c>
      <c r="AF40" s="63"/>
      <c r="AG40" s="65" t="e">
        <f t="shared" si="8"/>
        <v>#DIV/0!</v>
      </c>
    </row>
    <row r="41" spans="1:33" ht="15.75" customHeight="1">
      <c r="A41" s="21">
        <v>32</v>
      </c>
      <c r="B41" s="50"/>
      <c r="C41" s="51"/>
      <c r="D41" s="52"/>
      <c r="E41" s="53"/>
      <c r="F41" s="53"/>
      <c r="G41" s="52"/>
      <c r="H41" s="52"/>
      <c r="I41" s="53"/>
      <c r="J41" s="53"/>
      <c r="K41" s="52"/>
      <c r="L41" s="52"/>
      <c r="M41" s="3" t="str">
        <f t="shared" si="0"/>
        <v/>
      </c>
      <c r="N41" s="3" t="str">
        <f t="shared" si="1"/>
        <v xml:space="preserve"> </v>
      </c>
      <c r="O41" s="3" t="str">
        <f t="shared" si="2"/>
        <v/>
      </c>
      <c r="P41" s="3" t="str">
        <f t="shared" si="3"/>
        <v/>
      </c>
      <c r="Q41" s="3" t="str">
        <f t="shared" si="4"/>
        <v/>
      </c>
      <c r="R41" s="38" t="e">
        <f t="shared" si="5"/>
        <v>#DIV/0!</v>
      </c>
      <c r="S41" s="56"/>
      <c r="T41" s="57"/>
      <c r="U41" s="56"/>
      <c r="V41" s="57"/>
      <c r="W41" s="56"/>
      <c r="X41" s="40" t="e">
        <f t="shared" si="6"/>
        <v>#DIV/0!</v>
      </c>
      <c r="Y41" s="60"/>
      <c r="Z41" s="61"/>
      <c r="AA41" s="60"/>
      <c r="AB41" s="61"/>
      <c r="AC41" s="60"/>
      <c r="AD41" s="42" t="e">
        <f t="shared" si="7"/>
        <v>#DIV/0!</v>
      </c>
      <c r="AE41" s="43" t="e">
        <f t="shared" si="9"/>
        <v>#DIV/0!</v>
      </c>
      <c r="AF41" s="63"/>
      <c r="AG41" s="65" t="e">
        <f t="shared" si="8"/>
        <v>#DIV/0!</v>
      </c>
    </row>
    <row r="42" spans="1:33" ht="15.75" customHeight="1">
      <c r="A42" s="21">
        <v>33</v>
      </c>
      <c r="B42" s="50"/>
      <c r="C42" s="51"/>
      <c r="D42" s="52"/>
      <c r="E42" s="53"/>
      <c r="F42" s="53"/>
      <c r="G42" s="52"/>
      <c r="H42" s="52"/>
      <c r="I42" s="53"/>
      <c r="J42" s="53"/>
      <c r="K42" s="52"/>
      <c r="L42" s="52"/>
      <c r="M42" s="3" t="str">
        <f t="shared" si="0"/>
        <v/>
      </c>
      <c r="N42" s="3" t="str">
        <f t="shared" si="1"/>
        <v xml:space="preserve"> </v>
      </c>
      <c r="O42" s="3" t="str">
        <f t="shared" si="2"/>
        <v/>
      </c>
      <c r="P42" s="3" t="str">
        <f t="shared" si="3"/>
        <v/>
      </c>
      <c r="Q42" s="3" t="str">
        <f t="shared" si="4"/>
        <v/>
      </c>
      <c r="R42" s="38" t="e">
        <f t="shared" si="5"/>
        <v>#DIV/0!</v>
      </c>
      <c r="S42" s="56"/>
      <c r="T42" s="57"/>
      <c r="U42" s="56"/>
      <c r="V42" s="57"/>
      <c r="W42" s="56"/>
      <c r="X42" s="40" t="e">
        <f t="shared" si="6"/>
        <v>#DIV/0!</v>
      </c>
      <c r="Y42" s="60"/>
      <c r="Z42" s="61"/>
      <c r="AA42" s="60"/>
      <c r="AB42" s="61"/>
      <c r="AC42" s="60"/>
      <c r="AD42" s="42" t="e">
        <f t="shared" si="7"/>
        <v>#DIV/0!</v>
      </c>
      <c r="AE42" s="43" t="e">
        <f t="shared" si="9"/>
        <v>#DIV/0!</v>
      </c>
      <c r="AF42" s="63"/>
      <c r="AG42" s="65" t="e">
        <f t="shared" si="8"/>
        <v>#DIV/0!</v>
      </c>
    </row>
    <row r="43" spans="1:33" ht="15.75" customHeight="1">
      <c r="A43" s="21">
        <v>34</v>
      </c>
      <c r="B43" s="50"/>
      <c r="C43" s="51"/>
      <c r="D43" s="52"/>
      <c r="E43" s="53"/>
      <c r="F43" s="53"/>
      <c r="G43" s="52"/>
      <c r="H43" s="52"/>
      <c r="I43" s="53"/>
      <c r="J43" s="53"/>
      <c r="K43" s="52"/>
      <c r="L43" s="52"/>
      <c r="M43" s="3" t="str">
        <f t="shared" si="0"/>
        <v/>
      </c>
      <c r="N43" s="3" t="str">
        <f t="shared" si="1"/>
        <v xml:space="preserve"> </v>
      </c>
      <c r="O43" s="3" t="str">
        <f t="shared" si="2"/>
        <v/>
      </c>
      <c r="P43" s="3" t="str">
        <f t="shared" si="3"/>
        <v/>
      </c>
      <c r="Q43" s="3" t="str">
        <f t="shared" si="4"/>
        <v/>
      </c>
      <c r="R43" s="38" t="e">
        <f t="shared" si="5"/>
        <v>#DIV/0!</v>
      </c>
      <c r="S43" s="56"/>
      <c r="T43" s="57"/>
      <c r="U43" s="56"/>
      <c r="V43" s="57"/>
      <c r="W43" s="56"/>
      <c r="X43" s="40" t="e">
        <f t="shared" si="6"/>
        <v>#DIV/0!</v>
      </c>
      <c r="Y43" s="60"/>
      <c r="Z43" s="61"/>
      <c r="AA43" s="60"/>
      <c r="AB43" s="61"/>
      <c r="AC43" s="60"/>
      <c r="AD43" s="42" t="e">
        <f t="shared" si="7"/>
        <v>#DIV/0!</v>
      </c>
      <c r="AE43" s="43" t="e">
        <f t="shared" si="9"/>
        <v>#DIV/0!</v>
      </c>
      <c r="AF43" s="63"/>
      <c r="AG43" s="65" t="e">
        <f t="shared" si="8"/>
        <v>#DIV/0!</v>
      </c>
    </row>
    <row r="44" spans="1:33" ht="15.75" customHeight="1">
      <c r="A44" s="21">
        <v>35</v>
      </c>
      <c r="B44" s="50"/>
      <c r="C44" s="51"/>
      <c r="D44" s="52"/>
      <c r="E44" s="53"/>
      <c r="F44" s="53"/>
      <c r="G44" s="52"/>
      <c r="H44" s="52"/>
      <c r="I44" s="53"/>
      <c r="J44" s="53"/>
      <c r="K44" s="52"/>
      <c r="L44" s="52"/>
      <c r="M44" s="3" t="str">
        <f t="shared" si="0"/>
        <v/>
      </c>
      <c r="N44" s="3" t="str">
        <f t="shared" si="1"/>
        <v xml:space="preserve"> </v>
      </c>
      <c r="O44" s="3" t="str">
        <f t="shared" si="2"/>
        <v/>
      </c>
      <c r="P44" s="3" t="str">
        <f t="shared" si="3"/>
        <v/>
      </c>
      <c r="Q44" s="3" t="str">
        <f t="shared" si="4"/>
        <v/>
      </c>
      <c r="R44" s="38" t="e">
        <f t="shared" si="5"/>
        <v>#DIV/0!</v>
      </c>
      <c r="S44" s="56"/>
      <c r="T44" s="57"/>
      <c r="U44" s="56"/>
      <c r="V44" s="57"/>
      <c r="W44" s="56"/>
      <c r="X44" s="40" t="e">
        <f t="shared" si="6"/>
        <v>#DIV/0!</v>
      </c>
      <c r="Y44" s="60"/>
      <c r="Z44" s="61"/>
      <c r="AA44" s="60"/>
      <c r="AB44" s="61"/>
      <c r="AC44" s="60"/>
      <c r="AD44" s="42" t="e">
        <f t="shared" si="7"/>
        <v>#DIV/0!</v>
      </c>
      <c r="AE44" s="43" t="e">
        <f t="shared" si="9"/>
        <v>#DIV/0!</v>
      </c>
      <c r="AF44" s="63"/>
      <c r="AG44" s="65" t="e">
        <f t="shared" si="8"/>
        <v>#DIV/0!</v>
      </c>
    </row>
    <row r="45" spans="1:33" ht="15.75" customHeight="1">
      <c r="A45" s="21">
        <v>36</v>
      </c>
      <c r="B45" s="50"/>
      <c r="C45" s="51"/>
      <c r="D45" s="52"/>
      <c r="E45" s="53"/>
      <c r="F45" s="53"/>
      <c r="G45" s="52"/>
      <c r="H45" s="52"/>
      <c r="I45" s="53"/>
      <c r="J45" s="53"/>
      <c r="K45" s="52"/>
      <c r="L45" s="52"/>
      <c r="M45" s="3" t="str">
        <f t="shared" si="0"/>
        <v/>
      </c>
      <c r="N45" s="3" t="str">
        <f t="shared" si="1"/>
        <v xml:space="preserve"> </v>
      </c>
      <c r="O45" s="3" t="str">
        <f t="shared" si="2"/>
        <v/>
      </c>
      <c r="P45" s="3" t="str">
        <f t="shared" si="3"/>
        <v/>
      </c>
      <c r="Q45" s="3" t="str">
        <f t="shared" si="4"/>
        <v/>
      </c>
      <c r="R45" s="38" t="e">
        <f t="shared" si="5"/>
        <v>#DIV/0!</v>
      </c>
      <c r="S45" s="56"/>
      <c r="T45" s="57"/>
      <c r="U45" s="56"/>
      <c r="V45" s="57"/>
      <c r="W45" s="56"/>
      <c r="X45" s="40" t="e">
        <f t="shared" si="6"/>
        <v>#DIV/0!</v>
      </c>
      <c r="Y45" s="60"/>
      <c r="Z45" s="61"/>
      <c r="AA45" s="60"/>
      <c r="AB45" s="61"/>
      <c r="AC45" s="60"/>
      <c r="AD45" s="42" t="e">
        <f t="shared" si="7"/>
        <v>#DIV/0!</v>
      </c>
      <c r="AE45" s="43" t="e">
        <f t="shared" si="9"/>
        <v>#DIV/0!</v>
      </c>
      <c r="AF45" s="63"/>
      <c r="AG45" s="65" t="e">
        <f t="shared" si="8"/>
        <v>#DIV/0!</v>
      </c>
    </row>
    <row r="46" spans="1:33" ht="15.75" customHeight="1">
      <c r="A46" s="21">
        <v>37</v>
      </c>
      <c r="B46" s="50"/>
      <c r="C46" s="51"/>
      <c r="D46" s="52"/>
      <c r="E46" s="53"/>
      <c r="F46" s="53"/>
      <c r="G46" s="52"/>
      <c r="H46" s="52"/>
      <c r="I46" s="53"/>
      <c r="J46" s="53"/>
      <c r="K46" s="52"/>
      <c r="L46" s="52"/>
      <c r="M46" s="3" t="str">
        <f t="shared" si="0"/>
        <v/>
      </c>
      <c r="N46" s="3" t="str">
        <f t="shared" si="1"/>
        <v xml:space="preserve"> </v>
      </c>
      <c r="O46" s="3" t="str">
        <f t="shared" si="2"/>
        <v/>
      </c>
      <c r="P46" s="3" t="str">
        <f t="shared" si="3"/>
        <v/>
      </c>
      <c r="Q46" s="3" t="str">
        <f t="shared" si="4"/>
        <v/>
      </c>
      <c r="R46" s="38" t="e">
        <f t="shared" si="5"/>
        <v>#DIV/0!</v>
      </c>
      <c r="S46" s="56"/>
      <c r="T46" s="57"/>
      <c r="U46" s="56"/>
      <c r="V46" s="57"/>
      <c r="W46" s="56"/>
      <c r="X46" s="40" t="e">
        <f t="shared" si="6"/>
        <v>#DIV/0!</v>
      </c>
      <c r="Y46" s="60"/>
      <c r="Z46" s="61"/>
      <c r="AA46" s="60"/>
      <c r="AB46" s="61"/>
      <c r="AC46" s="60"/>
      <c r="AD46" s="42" t="e">
        <f t="shared" si="7"/>
        <v>#DIV/0!</v>
      </c>
      <c r="AE46" s="43" t="e">
        <f t="shared" si="9"/>
        <v>#DIV/0!</v>
      </c>
      <c r="AF46" s="63"/>
      <c r="AG46" s="65" t="e">
        <f t="shared" si="8"/>
        <v>#DIV/0!</v>
      </c>
    </row>
    <row r="47" spans="1:33" ht="15.75" customHeight="1">
      <c r="A47" s="21">
        <v>38</v>
      </c>
      <c r="B47" s="50"/>
      <c r="C47" s="51"/>
      <c r="D47" s="52"/>
      <c r="E47" s="53"/>
      <c r="F47" s="53"/>
      <c r="G47" s="52"/>
      <c r="H47" s="52"/>
      <c r="I47" s="53"/>
      <c r="J47" s="53"/>
      <c r="K47" s="52"/>
      <c r="L47" s="52"/>
      <c r="M47" s="3" t="str">
        <f t="shared" si="0"/>
        <v/>
      </c>
      <c r="N47" s="3" t="str">
        <f t="shared" si="1"/>
        <v xml:space="preserve"> </v>
      </c>
      <c r="O47" s="3" t="str">
        <f t="shared" si="2"/>
        <v/>
      </c>
      <c r="P47" s="3" t="str">
        <f t="shared" si="3"/>
        <v/>
      </c>
      <c r="Q47" s="3" t="str">
        <f t="shared" si="4"/>
        <v/>
      </c>
      <c r="R47" s="38" t="e">
        <f t="shared" si="5"/>
        <v>#DIV/0!</v>
      </c>
      <c r="S47" s="56"/>
      <c r="T47" s="57"/>
      <c r="U47" s="56"/>
      <c r="V47" s="57"/>
      <c r="W47" s="56"/>
      <c r="X47" s="40" t="e">
        <f t="shared" si="6"/>
        <v>#DIV/0!</v>
      </c>
      <c r="Y47" s="60"/>
      <c r="Z47" s="61"/>
      <c r="AA47" s="60"/>
      <c r="AB47" s="61"/>
      <c r="AC47" s="60"/>
      <c r="AD47" s="42" t="e">
        <f t="shared" si="7"/>
        <v>#DIV/0!</v>
      </c>
      <c r="AE47" s="43" t="e">
        <f t="shared" si="9"/>
        <v>#DIV/0!</v>
      </c>
      <c r="AF47" s="63"/>
      <c r="AG47" s="65" t="e">
        <f t="shared" si="8"/>
        <v>#DIV/0!</v>
      </c>
    </row>
    <row r="48" spans="1:33" ht="15.75" customHeight="1">
      <c r="A48" s="21">
        <v>39</v>
      </c>
      <c r="B48" s="50"/>
      <c r="C48" s="51"/>
      <c r="D48" s="52"/>
      <c r="E48" s="53"/>
      <c r="F48" s="53"/>
      <c r="G48" s="52"/>
      <c r="H48" s="52"/>
      <c r="I48" s="53"/>
      <c r="J48" s="53"/>
      <c r="K48" s="52"/>
      <c r="L48" s="52"/>
      <c r="M48" s="3" t="str">
        <f t="shared" si="0"/>
        <v/>
      </c>
      <c r="N48" s="3" t="str">
        <f t="shared" si="1"/>
        <v xml:space="preserve"> </v>
      </c>
      <c r="O48" s="3" t="str">
        <f t="shared" si="2"/>
        <v/>
      </c>
      <c r="P48" s="3" t="str">
        <f t="shared" si="3"/>
        <v/>
      </c>
      <c r="Q48" s="3" t="str">
        <f t="shared" si="4"/>
        <v/>
      </c>
      <c r="R48" s="38" t="e">
        <f t="shared" si="5"/>
        <v>#DIV/0!</v>
      </c>
      <c r="S48" s="56"/>
      <c r="T48" s="57"/>
      <c r="U48" s="56"/>
      <c r="V48" s="57"/>
      <c r="W48" s="56"/>
      <c r="X48" s="40" t="e">
        <f t="shared" si="6"/>
        <v>#DIV/0!</v>
      </c>
      <c r="Y48" s="60"/>
      <c r="Z48" s="61"/>
      <c r="AA48" s="60"/>
      <c r="AB48" s="61"/>
      <c r="AC48" s="60"/>
      <c r="AD48" s="42" t="e">
        <f t="shared" si="7"/>
        <v>#DIV/0!</v>
      </c>
      <c r="AE48" s="43" t="e">
        <f t="shared" si="9"/>
        <v>#DIV/0!</v>
      </c>
      <c r="AF48" s="63"/>
      <c r="AG48" s="65" t="e">
        <f t="shared" si="8"/>
        <v>#DIV/0!</v>
      </c>
    </row>
    <row r="49" spans="1:33" ht="15.75" customHeight="1">
      <c r="A49" s="21">
        <v>40</v>
      </c>
      <c r="B49" s="50"/>
      <c r="C49" s="51"/>
      <c r="D49" s="52"/>
      <c r="E49" s="53"/>
      <c r="F49" s="53"/>
      <c r="G49" s="52"/>
      <c r="H49" s="52"/>
      <c r="I49" s="53"/>
      <c r="J49" s="53"/>
      <c r="K49" s="52"/>
      <c r="L49" s="52"/>
      <c r="M49" s="3" t="str">
        <f t="shared" si="0"/>
        <v/>
      </c>
      <c r="N49" s="3" t="str">
        <f t="shared" si="1"/>
        <v xml:space="preserve"> </v>
      </c>
      <c r="O49" s="3" t="str">
        <f t="shared" si="2"/>
        <v/>
      </c>
      <c r="P49" s="3" t="str">
        <f t="shared" si="3"/>
        <v/>
      </c>
      <c r="Q49" s="3" t="str">
        <f t="shared" si="4"/>
        <v/>
      </c>
      <c r="R49" s="38" t="e">
        <f t="shared" si="5"/>
        <v>#DIV/0!</v>
      </c>
      <c r="S49" s="56"/>
      <c r="T49" s="57"/>
      <c r="U49" s="56"/>
      <c r="V49" s="57"/>
      <c r="W49" s="56"/>
      <c r="X49" s="40" t="e">
        <f t="shared" si="6"/>
        <v>#DIV/0!</v>
      </c>
      <c r="Y49" s="60"/>
      <c r="Z49" s="61"/>
      <c r="AA49" s="60"/>
      <c r="AB49" s="61"/>
      <c r="AC49" s="60"/>
      <c r="AD49" s="42" t="e">
        <f t="shared" si="7"/>
        <v>#DIV/0!</v>
      </c>
      <c r="AE49" s="43" t="e">
        <f t="shared" si="9"/>
        <v>#DIV/0!</v>
      </c>
      <c r="AF49" s="63"/>
      <c r="AG49" s="65" t="e">
        <f t="shared" si="8"/>
        <v>#DIV/0!</v>
      </c>
    </row>
    <row r="50" spans="1:33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44"/>
      <c r="AG50" s="44"/>
    </row>
    <row r="51" spans="1:33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5"/>
      <c r="AF51" s="44"/>
      <c r="AG51" s="44"/>
    </row>
    <row r="52" spans="1:33" ht="15.75" customHeight="1">
      <c r="A52" s="4"/>
      <c r="B52" s="6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44"/>
      <c r="AG52" s="44"/>
    </row>
    <row r="53" spans="1:3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44"/>
      <c r="AG53" s="44"/>
    </row>
    <row r="54" spans="1:33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5"/>
      <c r="AF54" s="44"/>
      <c r="AG54" s="44"/>
    </row>
    <row r="55" spans="1:33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5"/>
      <c r="AF55" s="44"/>
      <c r="AG55" s="44"/>
    </row>
    <row r="56" spans="1:33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5"/>
      <c r="AF56" s="44"/>
      <c r="AG56" s="44"/>
    </row>
    <row r="57" spans="1:33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5"/>
      <c r="AF57" s="44"/>
      <c r="AG57" s="44"/>
    </row>
    <row r="58" spans="1:33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5"/>
      <c r="AF58" s="44"/>
      <c r="AG58" s="44"/>
    </row>
    <row r="59" spans="1:33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5"/>
      <c r="AF59" s="44"/>
      <c r="AG59" s="44"/>
    </row>
    <row r="60" spans="1:33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5"/>
      <c r="AF60" s="44"/>
      <c r="AG60" s="44"/>
    </row>
    <row r="61" spans="1:33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5"/>
      <c r="AF61" s="44"/>
      <c r="AG61" s="44"/>
    </row>
    <row r="62" spans="1:33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5"/>
      <c r="AF62" s="44"/>
      <c r="AG62" s="44"/>
    </row>
    <row r="63" spans="1:3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5"/>
      <c r="AF63" s="44"/>
      <c r="AG63" s="44"/>
    </row>
    <row r="64" spans="1:33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5"/>
      <c r="AF64" s="44"/>
      <c r="AG64" s="44"/>
    </row>
    <row r="65" spans="1:33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5"/>
      <c r="AF65" s="44"/>
      <c r="AG65" s="44"/>
    </row>
    <row r="66" spans="1:33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5"/>
      <c r="AF66" s="44"/>
      <c r="AG66" s="44"/>
    </row>
    <row r="67" spans="1:33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5"/>
      <c r="AF67" s="44"/>
      <c r="AG67" s="44"/>
    </row>
    <row r="68" spans="1:33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5"/>
      <c r="AF68" s="44"/>
      <c r="AG68" s="44"/>
    </row>
    <row r="69" spans="1:33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5"/>
      <c r="AF69" s="44"/>
      <c r="AG69" s="44"/>
    </row>
    <row r="70" spans="1:33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5"/>
      <c r="AF70" s="44"/>
      <c r="AG70" s="44"/>
    </row>
    <row r="71" spans="1:33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5"/>
      <c r="AF71" s="44"/>
      <c r="AG71" s="44"/>
    </row>
    <row r="72" spans="1:33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5"/>
      <c r="AF72" s="44"/>
      <c r="AG72" s="44"/>
    </row>
    <row r="73" spans="1:3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5"/>
      <c r="AF73" s="44"/>
      <c r="AG73" s="44"/>
    </row>
    <row r="74" spans="1:33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5"/>
      <c r="AF74" s="44"/>
      <c r="AG74" s="44"/>
    </row>
    <row r="75" spans="1:33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5"/>
      <c r="AF75" s="44"/>
      <c r="AG75" s="44"/>
    </row>
    <row r="76" spans="1:33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5"/>
      <c r="AF76" s="44"/>
      <c r="AG76" s="44"/>
    </row>
    <row r="77" spans="1:33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5"/>
      <c r="AF77" s="44"/>
      <c r="AG77" s="44"/>
    </row>
    <row r="78" spans="1:33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5"/>
      <c r="AF78" s="44"/>
      <c r="AG78" s="44"/>
    </row>
    <row r="79" spans="1:33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5"/>
      <c r="AF79" s="44"/>
      <c r="AG79" s="44"/>
    </row>
    <row r="80" spans="1:33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5"/>
      <c r="AF80" s="44"/>
      <c r="AG80" s="44"/>
    </row>
    <row r="81" spans="1:33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5"/>
      <c r="AF81" s="44"/>
      <c r="AG81" s="44"/>
    </row>
    <row r="82" spans="1:33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5"/>
      <c r="AF82" s="44"/>
      <c r="AG82" s="44"/>
    </row>
    <row r="83" spans="1:3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5"/>
      <c r="AF83" s="44"/>
      <c r="AG83" s="44"/>
    </row>
    <row r="84" spans="1:33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5"/>
      <c r="AF84" s="44"/>
      <c r="AG84" s="44"/>
    </row>
    <row r="85" spans="1:33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5"/>
      <c r="AF85" s="44"/>
      <c r="AG85" s="44"/>
    </row>
    <row r="86" spans="1:33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5"/>
      <c r="AF86" s="44"/>
      <c r="AG86" s="44"/>
    </row>
    <row r="87" spans="1:33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5"/>
      <c r="AF87" s="44"/>
      <c r="AG87" s="44"/>
    </row>
    <row r="88" spans="1:33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5"/>
      <c r="AF88" s="44"/>
      <c r="AG88" s="44"/>
    </row>
    <row r="89" spans="1:33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5"/>
      <c r="AF89" s="44"/>
      <c r="AG89" s="44"/>
    </row>
    <row r="90" spans="1:33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5"/>
      <c r="AF90" s="44"/>
      <c r="AG90" s="44"/>
    </row>
    <row r="91" spans="1:33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5"/>
      <c r="AF91" s="44"/>
      <c r="AG91" s="44"/>
    </row>
    <row r="92" spans="1:33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5"/>
      <c r="AF92" s="44"/>
      <c r="AG92" s="44"/>
    </row>
    <row r="93" spans="1:3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5"/>
      <c r="AF93" s="44"/>
      <c r="AG93" s="44"/>
    </row>
    <row r="94" spans="1:33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5"/>
      <c r="AF94" s="44"/>
      <c r="AG94" s="44"/>
    </row>
    <row r="95" spans="1:33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5"/>
      <c r="AF95" s="44"/>
      <c r="AG95" s="44"/>
    </row>
    <row r="96" spans="1:33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5"/>
      <c r="AF96" s="44"/>
      <c r="AG96" s="44"/>
    </row>
    <row r="97" spans="1:33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5"/>
      <c r="AF97" s="44"/>
      <c r="AG97" s="44"/>
    </row>
    <row r="98" spans="1:33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5"/>
      <c r="AF98" s="44"/>
      <c r="AG98" s="44"/>
    </row>
    <row r="99" spans="1:33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5"/>
      <c r="AF99" s="44"/>
      <c r="AG99" s="44"/>
    </row>
    <row r="100" spans="1:33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5"/>
      <c r="AF100" s="44"/>
      <c r="AG100" s="44"/>
    </row>
    <row r="101" spans="1:33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5"/>
      <c r="AF101" s="44"/>
      <c r="AG101" s="44"/>
    </row>
    <row r="102" spans="1:33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5"/>
      <c r="AF102" s="44"/>
      <c r="AG102" s="44"/>
    </row>
    <row r="103" spans="1:3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5"/>
      <c r="AF103" s="44"/>
      <c r="AG103" s="44"/>
    </row>
    <row r="104" spans="1:33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5"/>
      <c r="AF104" s="44"/>
      <c r="AG104" s="44"/>
    </row>
    <row r="105" spans="1:33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5"/>
      <c r="AF105" s="44"/>
      <c r="AG105" s="44"/>
    </row>
    <row r="106" spans="1:33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5"/>
      <c r="AF106" s="44"/>
      <c r="AG106" s="44"/>
    </row>
    <row r="107" spans="1:33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5"/>
      <c r="AF107" s="44"/>
      <c r="AG107" s="44"/>
    </row>
    <row r="108" spans="1:33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5"/>
      <c r="AF108" s="44"/>
      <c r="AG108" s="44"/>
    </row>
    <row r="109" spans="1:33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5"/>
      <c r="AF109" s="44"/>
      <c r="AG109" s="44"/>
    </row>
    <row r="110" spans="1:33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5"/>
      <c r="AF110" s="44"/>
      <c r="AG110" s="44"/>
    </row>
    <row r="111" spans="1:33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5"/>
      <c r="AF111" s="44"/>
      <c r="AG111" s="44"/>
    </row>
    <row r="112" spans="1:33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5"/>
      <c r="AF112" s="44"/>
      <c r="AG112" s="44"/>
    </row>
    <row r="113" spans="1:3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5"/>
      <c r="AF113" s="44"/>
      <c r="AG113" s="44"/>
    </row>
    <row r="114" spans="1:33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5"/>
      <c r="AF114" s="44"/>
      <c r="AG114" s="44"/>
    </row>
    <row r="115" spans="1:33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5"/>
      <c r="AF115" s="44"/>
      <c r="AG115" s="44"/>
    </row>
    <row r="116" spans="1:33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5"/>
      <c r="AF116" s="44"/>
      <c r="AG116" s="44"/>
    </row>
    <row r="117" spans="1:33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5"/>
      <c r="AF117" s="44"/>
      <c r="AG117" s="44"/>
    </row>
    <row r="118" spans="1:33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5"/>
      <c r="AF118" s="44"/>
      <c r="AG118" s="44"/>
    </row>
    <row r="119" spans="1:33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5"/>
      <c r="AF119" s="44"/>
      <c r="AG119" s="44"/>
    </row>
    <row r="120" spans="1:33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5"/>
      <c r="AF120" s="44"/>
      <c r="AG120" s="44"/>
    </row>
    <row r="121" spans="1:33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5"/>
      <c r="AF121" s="44"/>
      <c r="AG121" s="44"/>
    </row>
    <row r="122" spans="1:33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5"/>
      <c r="AF122" s="44"/>
      <c r="AG122" s="44"/>
    </row>
    <row r="123" spans="1:3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5"/>
      <c r="AF123" s="44"/>
      <c r="AG123" s="44"/>
    </row>
    <row r="124" spans="1:33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5"/>
      <c r="AF124" s="44"/>
      <c r="AG124" s="44"/>
    </row>
    <row r="125" spans="1:33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5"/>
      <c r="AF125" s="44"/>
      <c r="AG125" s="44"/>
    </row>
    <row r="126" spans="1:33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5"/>
      <c r="AF126" s="44"/>
      <c r="AG126" s="44"/>
    </row>
    <row r="127" spans="1:33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5"/>
      <c r="AF127" s="44"/>
      <c r="AG127" s="44"/>
    </row>
    <row r="128" spans="1:33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5"/>
      <c r="AF128" s="44"/>
      <c r="AG128" s="44"/>
    </row>
    <row r="129" spans="1:33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5"/>
      <c r="AF129" s="44"/>
      <c r="AG129" s="44"/>
    </row>
    <row r="130" spans="1:33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5"/>
      <c r="AF130" s="44"/>
      <c r="AG130" s="44"/>
    </row>
    <row r="131" spans="1:33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5"/>
      <c r="AF131" s="44"/>
      <c r="AG131" s="44"/>
    </row>
    <row r="132" spans="1:33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5"/>
      <c r="AF132" s="44"/>
      <c r="AG132" s="44"/>
    </row>
    <row r="133" spans="1: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5"/>
      <c r="AF133" s="44"/>
      <c r="AG133" s="44"/>
    </row>
    <row r="134" spans="1:33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5"/>
      <c r="AF134" s="44"/>
      <c r="AG134" s="44"/>
    </row>
    <row r="135" spans="1:33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5"/>
      <c r="AF135" s="44"/>
      <c r="AG135" s="44"/>
    </row>
    <row r="136" spans="1:33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5"/>
      <c r="AF136" s="44"/>
      <c r="AG136" s="44"/>
    </row>
    <row r="137" spans="1:33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5"/>
      <c r="AF137" s="44"/>
      <c r="AG137" s="44"/>
    </row>
    <row r="138" spans="1:33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5"/>
      <c r="AF138" s="44"/>
      <c r="AG138" s="44"/>
    </row>
    <row r="139" spans="1:33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5"/>
      <c r="AF139" s="44"/>
      <c r="AG139" s="44"/>
    </row>
    <row r="140" spans="1:33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5"/>
      <c r="AF140" s="44"/>
      <c r="AG140" s="44"/>
    </row>
    <row r="141" spans="1:33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5"/>
      <c r="AF141" s="44"/>
      <c r="AG141" s="44"/>
    </row>
    <row r="142" spans="1:33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5"/>
      <c r="AF142" s="44"/>
      <c r="AG142" s="44"/>
    </row>
    <row r="143" spans="1:3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5"/>
      <c r="AF143" s="44"/>
      <c r="AG143" s="44"/>
    </row>
    <row r="144" spans="1:33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5"/>
      <c r="AF144" s="44"/>
      <c r="AG144" s="44"/>
    </row>
    <row r="145" spans="1:33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5"/>
      <c r="AF145" s="44"/>
      <c r="AG145" s="44"/>
    </row>
    <row r="146" spans="1:33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5"/>
      <c r="AF146" s="44"/>
      <c r="AG146" s="44"/>
    </row>
    <row r="147" spans="1:33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5"/>
      <c r="AF147" s="44"/>
      <c r="AG147" s="44"/>
    </row>
    <row r="148" spans="1:33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5"/>
      <c r="AF148" s="44"/>
      <c r="AG148" s="44"/>
    </row>
    <row r="149" spans="1:33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5"/>
      <c r="AF149" s="44"/>
      <c r="AG149" s="44"/>
    </row>
    <row r="150" spans="1:33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5"/>
      <c r="AF150" s="44"/>
      <c r="AG150" s="44"/>
    </row>
    <row r="151" spans="1:33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5"/>
      <c r="AF151" s="44"/>
      <c r="AG151" s="44"/>
    </row>
    <row r="152" spans="1:33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5"/>
      <c r="AF152" s="44"/>
      <c r="AG152" s="44"/>
    </row>
    <row r="153" spans="1:3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5"/>
      <c r="AF153" s="44"/>
      <c r="AG153" s="44"/>
    </row>
    <row r="154" spans="1:33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5"/>
      <c r="AF154" s="44"/>
      <c r="AG154" s="44"/>
    </row>
    <row r="155" spans="1:33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5"/>
      <c r="AF155" s="44"/>
      <c r="AG155" s="44"/>
    </row>
    <row r="156" spans="1:33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5"/>
      <c r="AF156" s="44"/>
      <c r="AG156" s="44"/>
    </row>
    <row r="157" spans="1:33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5"/>
      <c r="AF157" s="44"/>
      <c r="AG157" s="44"/>
    </row>
    <row r="158" spans="1:33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5"/>
      <c r="AF158" s="44"/>
      <c r="AG158" s="44"/>
    </row>
    <row r="159" spans="1:33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5"/>
      <c r="AF159" s="44"/>
      <c r="AG159" s="44"/>
    </row>
    <row r="160" spans="1:33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5"/>
      <c r="AF160" s="44"/>
      <c r="AG160" s="44"/>
    </row>
    <row r="161" spans="1:33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5"/>
      <c r="AF161" s="44"/>
      <c r="AG161" s="44"/>
    </row>
    <row r="162" spans="1:33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5"/>
      <c r="AF162" s="44"/>
      <c r="AG162" s="44"/>
    </row>
    <row r="163" spans="1:3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5"/>
      <c r="AF163" s="44"/>
      <c r="AG163" s="44"/>
    </row>
    <row r="164" spans="1:33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5"/>
      <c r="AF164" s="44"/>
      <c r="AG164" s="44"/>
    </row>
    <row r="165" spans="1:33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5"/>
      <c r="AF165" s="44"/>
      <c r="AG165" s="44"/>
    </row>
    <row r="166" spans="1:33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5"/>
      <c r="AF166" s="44"/>
      <c r="AG166" s="44"/>
    </row>
    <row r="167" spans="1:33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5"/>
      <c r="AF167" s="44"/>
      <c r="AG167" s="44"/>
    </row>
    <row r="168" spans="1:33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5"/>
      <c r="AF168" s="44"/>
      <c r="AG168" s="44"/>
    </row>
    <row r="169" spans="1:33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5"/>
      <c r="AF169" s="44"/>
      <c r="AG169" s="44"/>
    </row>
    <row r="170" spans="1:33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5"/>
      <c r="AF170" s="44"/>
      <c r="AG170" s="44"/>
    </row>
    <row r="171" spans="1:33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5"/>
      <c r="AF171" s="44"/>
      <c r="AG171" s="44"/>
    </row>
    <row r="172" spans="1:33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5"/>
      <c r="AF172" s="44"/>
      <c r="AG172" s="44"/>
    </row>
    <row r="173" spans="1:3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5"/>
      <c r="AF173" s="44"/>
      <c r="AG173" s="44"/>
    </row>
    <row r="174" spans="1:33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5"/>
      <c r="AF174" s="44"/>
      <c r="AG174" s="44"/>
    </row>
    <row r="175" spans="1:33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5"/>
      <c r="AF175" s="44"/>
      <c r="AG175" s="44"/>
    </row>
    <row r="176" spans="1:33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5"/>
      <c r="AF176" s="44"/>
      <c r="AG176" s="44"/>
    </row>
    <row r="177" spans="1:33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5"/>
      <c r="AF177" s="44"/>
      <c r="AG177" s="44"/>
    </row>
    <row r="178" spans="1:33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5"/>
      <c r="AF178" s="44"/>
      <c r="AG178" s="44"/>
    </row>
    <row r="179" spans="1:33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5"/>
      <c r="AF179" s="44"/>
      <c r="AG179" s="44"/>
    </row>
    <row r="180" spans="1:33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5"/>
      <c r="AF180" s="44"/>
      <c r="AG180" s="44"/>
    </row>
    <row r="181" spans="1:33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5"/>
      <c r="AF181" s="44"/>
      <c r="AG181" s="44"/>
    </row>
    <row r="182" spans="1:33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5"/>
      <c r="AF182" s="44"/>
      <c r="AG182" s="44"/>
    </row>
    <row r="183" spans="1:3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5"/>
      <c r="AF183" s="44"/>
      <c r="AG183" s="44"/>
    </row>
    <row r="184" spans="1:33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5"/>
      <c r="AF184" s="44"/>
      <c r="AG184" s="44"/>
    </row>
    <row r="185" spans="1:33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5"/>
      <c r="AF185" s="44"/>
      <c r="AG185" s="44"/>
    </row>
    <row r="186" spans="1:33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5"/>
      <c r="AF186" s="44"/>
      <c r="AG186" s="44"/>
    </row>
    <row r="187" spans="1:33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5"/>
      <c r="AF187" s="44"/>
      <c r="AG187" s="44"/>
    </row>
    <row r="188" spans="1:33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5"/>
      <c r="AF188" s="44"/>
      <c r="AG188" s="44"/>
    </row>
    <row r="189" spans="1:33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5"/>
      <c r="AF189" s="44"/>
      <c r="AG189" s="44"/>
    </row>
    <row r="190" spans="1:33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5"/>
      <c r="AF190" s="44"/>
      <c r="AG190" s="44"/>
    </row>
    <row r="191" spans="1:33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5"/>
      <c r="AF191" s="44"/>
      <c r="AG191" s="44"/>
    </row>
    <row r="192" spans="1:33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5"/>
      <c r="AF192" s="44"/>
      <c r="AG192" s="44"/>
    </row>
    <row r="193" spans="1:3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5"/>
      <c r="AF193" s="44"/>
      <c r="AG193" s="44"/>
    </row>
    <row r="194" spans="1:33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5"/>
      <c r="AF194" s="44"/>
      <c r="AG194" s="44"/>
    </row>
    <row r="195" spans="1:33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5"/>
      <c r="AF195" s="44"/>
      <c r="AG195" s="44"/>
    </row>
    <row r="196" spans="1:33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5"/>
      <c r="AF196" s="44"/>
      <c r="AG196" s="44"/>
    </row>
    <row r="197" spans="1:33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5"/>
      <c r="AF197" s="44"/>
      <c r="AG197" s="44"/>
    </row>
    <row r="198" spans="1:33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5"/>
      <c r="AF198" s="44"/>
      <c r="AG198" s="44"/>
    </row>
    <row r="199" spans="1:33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5"/>
      <c r="AF199" s="44"/>
      <c r="AG199" s="44"/>
    </row>
    <row r="200" spans="1:33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5"/>
      <c r="AF200" s="44"/>
      <c r="AG200" s="44"/>
    </row>
    <row r="201" spans="1:33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5"/>
      <c r="AF201" s="44"/>
      <c r="AG201" s="44"/>
    </row>
    <row r="202" spans="1:33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5"/>
      <c r="AF202" s="44"/>
      <c r="AG202" s="44"/>
    </row>
    <row r="203" spans="1:3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5"/>
      <c r="AF203" s="44"/>
      <c r="AG203" s="44"/>
    </row>
    <row r="204" spans="1:33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5"/>
      <c r="AF204" s="44"/>
      <c r="AG204" s="44"/>
    </row>
    <row r="205" spans="1:33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5"/>
      <c r="AF205" s="44"/>
      <c r="AG205" s="44"/>
    </row>
    <row r="206" spans="1:33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5"/>
      <c r="AF206" s="44"/>
      <c r="AG206" s="44"/>
    </row>
    <row r="207" spans="1:33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5"/>
      <c r="AF207" s="44"/>
      <c r="AG207" s="44"/>
    </row>
    <row r="208" spans="1:33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5"/>
      <c r="AF208" s="44"/>
      <c r="AG208" s="44"/>
    </row>
    <row r="209" spans="1:33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5"/>
      <c r="AF209" s="44"/>
      <c r="AG209" s="44"/>
    </row>
    <row r="210" spans="1:33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5"/>
      <c r="AF210" s="44"/>
      <c r="AG210" s="44"/>
    </row>
    <row r="211" spans="1:33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5"/>
      <c r="AF211" s="44"/>
      <c r="AG211" s="44"/>
    </row>
    <row r="212" spans="1:33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5"/>
      <c r="AF212" s="44"/>
      <c r="AG212" s="44"/>
    </row>
    <row r="213" spans="1:3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5"/>
      <c r="AF213" s="44"/>
      <c r="AG213" s="44"/>
    </row>
    <row r="214" spans="1:33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5"/>
      <c r="AF214" s="44"/>
      <c r="AG214" s="44"/>
    </row>
    <row r="215" spans="1:33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5"/>
      <c r="AF215" s="44"/>
      <c r="AG215" s="44"/>
    </row>
    <row r="216" spans="1:33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5"/>
      <c r="AF216" s="44"/>
      <c r="AG216" s="44"/>
    </row>
    <row r="217" spans="1:33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5"/>
      <c r="AF217" s="44"/>
      <c r="AG217" s="44"/>
    </row>
    <row r="218" spans="1:33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5"/>
      <c r="AF218" s="44"/>
      <c r="AG218" s="44"/>
    </row>
    <row r="219" spans="1:33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5"/>
      <c r="AF219" s="44"/>
      <c r="AG219" s="44"/>
    </row>
    <row r="220" spans="1:33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5"/>
      <c r="AF220" s="44"/>
      <c r="AG220" s="44"/>
    </row>
    <row r="221" spans="1:33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5"/>
      <c r="AF221" s="44"/>
      <c r="AG221" s="44"/>
    </row>
    <row r="222" spans="1:33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5"/>
      <c r="AF222" s="44"/>
      <c r="AG222" s="44"/>
    </row>
    <row r="223" spans="1:3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5"/>
      <c r="AF223" s="44"/>
      <c r="AG223" s="44"/>
    </row>
    <row r="224" spans="1:33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5"/>
      <c r="AF224" s="44"/>
      <c r="AG224" s="44"/>
    </row>
    <row r="225" spans="1:33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5"/>
      <c r="AF225" s="44"/>
      <c r="AG225" s="44"/>
    </row>
    <row r="226" spans="1:33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5"/>
      <c r="AF226" s="44"/>
      <c r="AG226" s="44"/>
    </row>
    <row r="227" spans="1:33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5"/>
      <c r="AF227" s="44"/>
      <c r="AG227" s="44"/>
    </row>
    <row r="228" spans="1:33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5"/>
      <c r="AF228" s="44"/>
      <c r="AG228" s="44"/>
    </row>
    <row r="229" spans="1:33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5"/>
      <c r="AF229" s="44"/>
      <c r="AG229" s="44"/>
    </row>
    <row r="230" spans="1:33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5"/>
      <c r="AF230" s="44"/>
      <c r="AG230" s="44"/>
    </row>
    <row r="231" spans="1:33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5"/>
      <c r="AF231" s="44"/>
      <c r="AG231" s="44"/>
    </row>
    <row r="232" spans="1:33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5"/>
      <c r="AF232" s="44"/>
      <c r="AG232" s="44"/>
    </row>
    <row r="233" spans="1: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5"/>
      <c r="AF233" s="44"/>
      <c r="AG233" s="44"/>
    </row>
    <row r="234" spans="1:33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5"/>
      <c r="AF234" s="44"/>
      <c r="AG234" s="44"/>
    </row>
    <row r="235" spans="1:33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5"/>
      <c r="AF235" s="44"/>
      <c r="AG235" s="44"/>
    </row>
    <row r="236" spans="1:33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5"/>
      <c r="AF236" s="44"/>
      <c r="AG236" s="44"/>
    </row>
    <row r="237" spans="1:33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5"/>
      <c r="AF237" s="44"/>
      <c r="AG237" s="44"/>
    </row>
    <row r="238" spans="1:33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5"/>
      <c r="AF238" s="44"/>
      <c r="AG238" s="44"/>
    </row>
    <row r="239" spans="1:33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5"/>
      <c r="AF239" s="44"/>
      <c r="AG239" s="44"/>
    </row>
    <row r="240" spans="1:33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5"/>
      <c r="AF240" s="44"/>
      <c r="AG240" s="44"/>
    </row>
    <row r="241" spans="1:33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5"/>
      <c r="AF241" s="44"/>
      <c r="AG241" s="44"/>
    </row>
    <row r="242" spans="1:33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5"/>
      <c r="AF242" s="44"/>
      <c r="AG242" s="44"/>
    </row>
    <row r="243" spans="1:3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5"/>
      <c r="AF243" s="44"/>
      <c r="AG243" s="44"/>
    </row>
    <row r="244" spans="1:33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5"/>
      <c r="AF244" s="44"/>
      <c r="AG244" s="44"/>
    </row>
    <row r="245" spans="1:33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5"/>
      <c r="AF245" s="44"/>
      <c r="AG245" s="44"/>
    </row>
    <row r="246" spans="1:33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5"/>
      <c r="AF246" s="44"/>
      <c r="AG246" s="44"/>
    </row>
    <row r="247" spans="1:33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5"/>
      <c r="AF247" s="44"/>
      <c r="AG247" s="44"/>
    </row>
    <row r="248" spans="1:33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5"/>
      <c r="AF248" s="44"/>
      <c r="AG248" s="44"/>
    </row>
    <row r="249" spans="1:33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5"/>
      <c r="AF249" s="44"/>
      <c r="AG249" s="44"/>
    </row>
    <row r="250" spans="1:33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5"/>
      <c r="AF250" s="44"/>
      <c r="AG250" s="44"/>
    </row>
    <row r="251" spans="1:33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5"/>
      <c r="AF251" s="44"/>
      <c r="AG251" s="44"/>
    </row>
    <row r="252" spans="1:33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5"/>
      <c r="AF252" s="44"/>
      <c r="AG252" s="44"/>
    </row>
    <row r="253" spans="1:3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5"/>
      <c r="AF253" s="44"/>
      <c r="AG253" s="44"/>
    </row>
    <row r="254" spans="1:33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5"/>
      <c r="AF254" s="44"/>
      <c r="AG254" s="44"/>
    </row>
    <row r="255" spans="1:33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5"/>
      <c r="AF255" s="44"/>
      <c r="AG255" s="44"/>
    </row>
    <row r="256" spans="1:33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5"/>
      <c r="AF256" s="44"/>
      <c r="AG256" s="44"/>
    </row>
    <row r="257" spans="1:33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5"/>
      <c r="AF257" s="44"/>
      <c r="AG257" s="44"/>
    </row>
    <row r="258" spans="1:33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5"/>
      <c r="AF258" s="44"/>
      <c r="AG258" s="44"/>
    </row>
    <row r="259" spans="1:33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5"/>
      <c r="AF259" s="44"/>
      <c r="AG259" s="44"/>
    </row>
    <row r="260" spans="1:33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5"/>
      <c r="AF260" s="44"/>
      <c r="AG260" s="44"/>
    </row>
    <row r="261" spans="1:33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5"/>
      <c r="AF261" s="44"/>
      <c r="AG261" s="44"/>
    </row>
    <row r="262" spans="1:33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5"/>
      <c r="AF262" s="44"/>
      <c r="AG262" s="44"/>
    </row>
    <row r="263" spans="1:3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5"/>
      <c r="AF263" s="44"/>
      <c r="AG263" s="44"/>
    </row>
    <row r="264" spans="1:33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5"/>
      <c r="AF264" s="44"/>
      <c r="AG264" s="44"/>
    </row>
    <row r="265" spans="1:33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5"/>
      <c r="AF265" s="44"/>
      <c r="AG265" s="44"/>
    </row>
    <row r="266" spans="1:33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5"/>
      <c r="AF266" s="44"/>
      <c r="AG266" s="44"/>
    </row>
    <row r="267" spans="1:33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5"/>
      <c r="AF267" s="44"/>
      <c r="AG267" s="44"/>
    </row>
    <row r="268" spans="1:33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5"/>
      <c r="AF268" s="44"/>
      <c r="AG268" s="44"/>
    </row>
    <row r="269" spans="1:33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5"/>
      <c r="AF269" s="44"/>
      <c r="AG269" s="44"/>
    </row>
    <row r="270" spans="1:33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5"/>
      <c r="AF270" s="44"/>
      <c r="AG270" s="44"/>
    </row>
    <row r="271" spans="1:33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5"/>
      <c r="AF271" s="44"/>
      <c r="AG271" s="44"/>
    </row>
    <row r="272" spans="1:33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5"/>
      <c r="AF272" s="44"/>
      <c r="AG272" s="44"/>
    </row>
    <row r="273" spans="1:3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5"/>
      <c r="AF273" s="44"/>
      <c r="AG273" s="44"/>
    </row>
    <row r="274" spans="1:33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5"/>
      <c r="AF274" s="44"/>
      <c r="AG274" s="44"/>
    </row>
    <row r="275" spans="1:33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5"/>
      <c r="AF275" s="44"/>
      <c r="AG275" s="44"/>
    </row>
    <row r="276" spans="1:33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5"/>
      <c r="AF276" s="44"/>
      <c r="AG276" s="44"/>
    </row>
    <row r="277" spans="1:33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5"/>
      <c r="AF277" s="44"/>
      <c r="AG277" s="44"/>
    </row>
    <row r="278" spans="1:33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5"/>
      <c r="AF278" s="44"/>
      <c r="AG278" s="44"/>
    </row>
    <row r="279" spans="1:33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5"/>
      <c r="AF279" s="44"/>
      <c r="AG279" s="44"/>
    </row>
    <row r="280" spans="1:33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5"/>
      <c r="AF280" s="44"/>
      <c r="AG280" s="44"/>
    </row>
    <row r="281" spans="1:33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5"/>
      <c r="AF281" s="44"/>
      <c r="AG281" s="44"/>
    </row>
    <row r="282" spans="1:33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5"/>
      <c r="AF282" s="44"/>
      <c r="AG282" s="44"/>
    </row>
    <row r="283" spans="1:3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5"/>
      <c r="AF283" s="44"/>
      <c r="AG283" s="44"/>
    </row>
    <row r="284" spans="1:33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5"/>
      <c r="AF284" s="44"/>
      <c r="AG284" s="44"/>
    </row>
    <row r="285" spans="1:33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5"/>
      <c r="AF285" s="44"/>
      <c r="AG285" s="44"/>
    </row>
    <row r="286" spans="1:33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5"/>
      <c r="AF286" s="44"/>
      <c r="AG286" s="44"/>
    </row>
    <row r="287" spans="1:33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5"/>
      <c r="AF287" s="44"/>
      <c r="AG287" s="44"/>
    </row>
    <row r="288" spans="1:33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5"/>
      <c r="AF288" s="44"/>
      <c r="AG288" s="44"/>
    </row>
    <row r="289" spans="1:33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5"/>
      <c r="AF289" s="44"/>
      <c r="AG289" s="44"/>
    </row>
    <row r="290" spans="1:33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5"/>
      <c r="AF290" s="44"/>
      <c r="AG290" s="44"/>
    </row>
    <row r="291" spans="1:33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5"/>
      <c r="AF291" s="44"/>
      <c r="AG291" s="44"/>
    </row>
    <row r="292" spans="1:33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5"/>
      <c r="AF292" s="44"/>
      <c r="AG292" s="44"/>
    </row>
    <row r="293" spans="1:3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5"/>
      <c r="AF293" s="44"/>
      <c r="AG293" s="44"/>
    </row>
    <row r="294" spans="1:33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5"/>
      <c r="AF294" s="44"/>
      <c r="AG294" s="44"/>
    </row>
    <row r="295" spans="1:33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5"/>
      <c r="AF295" s="44"/>
      <c r="AG295" s="44"/>
    </row>
    <row r="296" spans="1:33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5"/>
      <c r="AF296" s="44"/>
      <c r="AG296" s="44"/>
    </row>
    <row r="297" spans="1:33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5"/>
      <c r="AF297" s="44"/>
      <c r="AG297" s="44"/>
    </row>
    <row r="298" spans="1:33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5"/>
      <c r="AF298" s="44"/>
      <c r="AG298" s="44"/>
    </row>
    <row r="299" spans="1:33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5"/>
      <c r="AF299" s="44"/>
      <c r="AG299" s="44"/>
    </row>
    <row r="300" spans="1:33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5"/>
      <c r="AF300" s="44"/>
      <c r="AG300" s="44"/>
    </row>
    <row r="301" spans="1:33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5"/>
      <c r="AF301" s="44"/>
      <c r="AG301" s="44"/>
    </row>
    <row r="302" spans="1:33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5"/>
      <c r="AF302" s="44"/>
      <c r="AG302" s="44"/>
    </row>
    <row r="303" spans="1:3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5"/>
      <c r="AF303" s="44"/>
      <c r="AG303" s="44"/>
    </row>
    <row r="304" spans="1:33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5"/>
      <c r="AF304" s="44"/>
      <c r="AG304" s="44"/>
    </row>
    <row r="305" spans="1:33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5"/>
      <c r="AF305" s="44"/>
      <c r="AG305" s="44"/>
    </row>
    <row r="306" spans="1:33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5"/>
      <c r="AF306" s="44"/>
      <c r="AG306" s="44"/>
    </row>
    <row r="307" spans="1:33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5"/>
      <c r="AF307" s="44"/>
      <c r="AG307" s="44"/>
    </row>
    <row r="308" spans="1:33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5"/>
      <c r="AF308" s="44"/>
      <c r="AG308" s="44"/>
    </row>
    <row r="309" spans="1:33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5"/>
      <c r="AF309" s="44"/>
      <c r="AG309" s="44"/>
    </row>
    <row r="310" spans="1:33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5"/>
      <c r="AF310" s="44"/>
      <c r="AG310" s="44"/>
    </row>
    <row r="311" spans="1:33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5"/>
      <c r="AF311" s="44"/>
      <c r="AG311" s="44"/>
    </row>
    <row r="312" spans="1:33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5"/>
      <c r="AF312" s="44"/>
      <c r="AG312" s="44"/>
    </row>
    <row r="313" spans="1:3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5"/>
      <c r="AF313" s="44"/>
      <c r="AG313" s="44"/>
    </row>
    <row r="314" spans="1:33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5"/>
      <c r="AF314" s="44"/>
      <c r="AG314" s="44"/>
    </row>
    <row r="315" spans="1:33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5"/>
      <c r="AF315" s="44"/>
      <c r="AG315" s="44"/>
    </row>
    <row r="316" spans="1:33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5"/>
      <c r="AF316" s="44"/>
      <c r="AG316" s="44"/>
    </row>
    <row r="317" spans="1:33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5"/>
      <c r="AF317" s="44"/>
      <c r="AG317" s="44"/>
    </row>
    <row r="318" spans="1:33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5"/>
      <c r="AF318" s="44"/>
      <c r="AG318" s="44"/>
    </row>
    <row r="319" spans="1:33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5"/>
      <c r="AF319" s="44"/>
      <c r="AG319" s="44"/>
    </row>
    <row r="320" spans="1:33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5"/>
      <c r="AF320" s="44"/>
      <c r="AG320" s="44"/>
    </row>
    <row r="321" spans="1:33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5"/>
      <c r="AF321" s="44"/>
      <c r="AG321" s="44"/>
    </row>
    <row r="322" spans="1:33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5"/>
      <c r="AF322" s="44"/>
      <c r="AG322" s="44"/>
    </row>
    <row r="323" spans="1:3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5"/>
      <c r="AF323" s="44"/>
      <c r="AG323" s="44"/>
    </row>
    <row r="324" spans="1:33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5"/>
      <c r="AF324" s="44"/>
      <c r="AG324" s="44"/>
    </row>
    <row r="325" spans="1:33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5"/>
      <c r="AF325" s="44"/>
      <c r="AG325" s="44"/>
    </row>
    <row r="326" spans="1:33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5"/>
      <c r="AF326" s="44"/>
      <c r="AG326" s="44"/>
    </row>
    <row r="327" spans="1:33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5"/>
      <c r="AF327" s="44"/>
      <c r="AG327" s="44"/>
    </row>
    <row r="328" spans="1:33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5"/>
      <c r="AF328" s="44"/>
      <c r="AG328" s="44"/>
    </row>
    <row r="329" spans="1:33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5"/>
      <c r="AF329" s="44"/>
      <c r="AG329" s="44"/>
    </row>
    <row r="330" spans="1:33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5"/>
      <c r="AF330" s="44"/>
      <c r="AG330" s="44"/>
    </row>
    <row r="331" spans="1:33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5"/>
      <c r="AF331" s="44"/>
      <c r="AG331" s="44"/>
    </row>
    <row r="332" spans="1:33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5"/>
      <c r="AF332" s="44"/>
      <c r="AG332" s="44"/>
    </row>
    <row r="333" spans="1: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5"/>
      <c r="AF333" s="44"/>
      <c r="AG333" s="44"/>
    </row>
    <row r="334" spans="1:33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5"/>
      <c r="AF334" s="44"/>
      <c r="AG334" s="44"/>
    </row>
    <row r="335" spans="1:33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5"/>
      <c r="AF335" s="44"/>
      <c r="AG335" s="44"/>
    </row>
    <row r="336" spans="1:33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5"/>
      <c r="AF336" s="44"/>
      <c r="AG336" s="44"/>
    </row>
    <row r="337" spans="1:33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5"/>
      <c r="AF337" s="44"/>
      <c r="AG337" s="44"/>
    </row>
    <row r="338" spans="1:33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5"/>
      <c r="AF338" s="44"/>
      <c r="AG338" s="44"/>
    </row>
    <row r="339" spans="1:33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5"/>
      <c r="AF339" s="44"/>
      <c r="AG339" s="44"/>
    </row>
    <row r="340" spans="1:33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5"/>
      <c r="AF340" s="44"/>
      <c r="AG340" s="44"/>
    </row>
    <row r="341" spans="1:33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5"/>
      <c r="AF341" s="44"/>
      <c r="AG341" s="44"/>
    </row>
    <row r="342" spans="1:33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5"/>
      <c r="AF342" s="44"/>
      <c r="AG342" s="44"/>
    </row>
    <row r="343" spans="1:3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5"/>
      <c r="AF343" s="44"/>
      <c r="AG343" s="44"/>
    </row>
    <row r="344" spans="1:33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5"/>
      <c r="AF344" s="44"/>
      <c r="AG344" s="44"/>
    </row>
    <row r="345" spans="1:33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5"/>
      <c r="AF345" s="44"/>
      <c r="AG345" s="44"/>
    </row>
    <row r="346" spans="1:33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5"/>
      <c r="AF346" s="44"/>
      <c r="AG346" s="44"/>
    </row>
    <row r="347" spans="1:33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5"/>
      <c r="AF347" s="44"/>
      <c r="AG347" s="44"/>
    </row>
    <row r="348" spans="1:33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5"/>
      <c r="AF348" s="44"/>
      <c r="AG348" s="44"/>
    </row>
    <row r="349" spans="1:33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5"/>
      <c r="AF349" s="44"/>
      <c r="AG349" s="44"/>
    </row>
    <row r="350" spans="1:33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5"/>
      <c r="AF350" s="44"/>
      <c r="AG350" s="44"/>
    </row>
    <row r="351" spans="1:33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5"/>
      <c r="AF351" s="44"/>
      <c r="AG351" s="44"/>
    </row>
    <row r="352" spans="1:33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5"/>
      <c r="AF352" s="44"/>
      <c r="AG352" s="44"/>
    </row>
    <row r="353" spans="1:3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5"/>
      <c r="AF353" s="44"/>
      <c r="AG353" s="44"/>
    </row>
    <row r="354" spans="1:33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5"/>
      <c r="AF354" s="44"/>
      <c r="AG354" s="44"/>
    </row>
    <row r="355" spans="1:33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5"/>
      <c r="AF355" s="44"/>
      <c r="AG355" s="44"/>
    </row>
    <row r="356" spans="1:33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5"/>
      <c r="AF356" s="44"/>
      <c r="AG356" s="44"/>
    </row>
    <row r="357" spans="1:33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5"/>
      <c r="AF357" s="44"/>
      <c r="AG357" s="44"/>
    </row>
    <row r="358" spans="1:33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5"/>
      <c r="AF358" s="44"/>
      <c r="AG358" s="44"/>
    </row>
    <row r="359" spans="1:33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5"/>
      <c r="AF359" s="44"/>
      <c r="AG359" s="44"/>
    </row>
    <row r="360" spans="1:33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5"/>
      <c r="AF360" s="44"/>
      <c r="AG360" s="44"/>
    </row>
    <row r="361" spans="1:33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5"/>
      <c r="AF361" s="44"/>
      <c r="AG361" s="44"/>
    </row>
    <row r="362" spans="1:33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5"/>
      <c r="AF362" s="44"/>
      <c r="AG362" s="44"/>
    </row>
    <row r="363" spans="1:3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5"/>
      <c r="AF363" s="44"/>
      <c r="AG363" s="44"/>
    </row>
    <row r="364" spans="1:33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5"/>
      <c r="AF364" s="44"/>
      <c r="AG364" s="44"/>
    </row>
    <row r="365" spans="1:33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5"/>
      <c r="AF365" s="44"/>
      <c r="AG365" s="44"/>
    </row>
    <row r="366" spans="1:33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5"/>
      <c r="AF366" s="44"/>
      <c r="AG366" s="44"/>
    </row>
    <row r="367" spans="1:33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5"/>
      <c r="AF367" s="44"/>
      <c r="AG367" s="44"/>
    </row>
    <row r="368" spans="1:33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5"/>
      <c r="AF368" s="44"/>
      <c r="AG368" s="44"/>
    </row>
    <row r="369" spans="1:33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5"/>
      <c r="AF369" s="44"/>
      <c r="AG369" s="44"/>
    </row>
    <row r="370" spans="1:33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5"/>
      <c r="AF370" s="44"/>
      <c r="AG370" s="44"/>
    </row>
    <row r="371" spans="1:33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5"/>
      <c r="AF371" s="44"/>
      <c r="AG371" s="44"/>
    </row>
    <row r="372" spans="1:33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5"/>
      <c r="AF372" s="44"/>
      <c r="AG372" s="44"/>
    </row>
    <row r="373" spans="1:3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5"/>
      <c r="AF373" s="44"/>
      <c r="AG373" s="44"/>
    </row>
    <row r="374" spans="1:33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5"/>
      <c r="AF374" s="44"/>
      <c r="AG374" s="44"/>
    </row>
    <row r="375" spans="1:33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5"/>
      <c r="AF375" s="44"/>
      <c r="AG375" s="44"/>
    </row>
    <row r="376" spans="1:33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5"/>
      <c r="AF376" s="44"/>
      <c r="AG376" s="44"/>
    </row>
    <row r="377" spans="1:33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5"/>
      <c r="AF377" s="44"/>
      <c r="AG377" s="44"/>
    </row>
    <row r="378" spans="1:33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5"/>
      <c r="AF378" s="44"/>
      <c r="AG378" s="44"/>
    </row>
    <row r="379" spans="1:33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5"/>
      <c r="AF379" s="44"/>
      <c r="AG379" s="44"/>
    </row>
    <row r="380" spans="1:33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5"/>
      <c r="AF380" s="44"/>
      <c r="AG380" s="44"/>
    </row>
    <row r="381" spans="1:33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5"/>
      <c r="AF381" s="44"/>
      <c r="AG381" s="44"/>
    </row>
    <row r="382" spans="1:33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5"/>
      <c r="AF382" s="44"/>
      <c r="AG382" s="44"/>
    </row>
    <row r="383" spans="1:3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5"/>
      <c r="AF383" s="44"/>
      <c r="AG383" s="44"/>
    </row>
    <row r="384" spans="1:33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5"/>
      <c r="AF384" s="44"/>
      <c r="AG384" s="44"/>
    </row>
    <row r="385" spans="1:33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5"/>
      <c r="AF385" s="44"/>
      <c r="AG385" s="44"/>
    </row>
    <row r="386" spans="1:33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5"/>
      <c r="AF386" s="44"/>
      <c r="AG386" s="44"/>
    </row>
    <row r="387" spans="1:33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5"/>
      <c r="AF387" s="44"/>
      <c r="AG387" s="44"/>
    </row>
    <row r="388" spans="1:33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5"/>
      <c r="AF388" s="44"/>
      <c r="AG388" s="44"/>
    </row>
    <row r="389" spans="1:33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5"/>
      <c r="AF389" s="44"/>
      <c r="AG389" s="44"/>
    </row>
    <row r="390" spans="1:33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5"/>
      <c r="AF390" s="44"/>
      <c r="AG390" s="44"/>
    </row>
    <row r="391" spans="1:33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5"/>
      <c r="AF391" s="44"/>
      <c r="AG391" s="44"/>
    </row>
    <row r="392" spans="1:33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5"/>
      <c r="AF392" s="44"/>
      <c r="AG392" s="44"/>
    </row>
    <row r="393" spans="1:3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5"/>
      <c r="AF393" s="44"/>
      <c r="AG393" s="44"/>
    </row>
    <row r="394" spans="1:33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5"/>
      <c r="AF394" s="44"/>
      <c r="AG394" s="44"/>
    </row>
    <row r="395" spans="1:33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5"/>
      <c r="AF395" s="44"/>
      <c r="AG395" s="44"/>
    </row>
    <row r="396" spans="1:33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5"/>
      <c r="AF396" s="44"/>
      <c r="AG396" s="44"/>
    </row>
    <row r="397" spans="1:33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5"/>
      <c r="AF397" s="44"/>
      <c r="AG397" s="44"/>
    </row>
    <row r="398" spans="1:33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5"/>
      <c r="AF398" s="44"/>
      <c r="AG398" s="44"/>
    </row>
    <row r="399" spans="1:33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5"/>
      <c r="AF399" s="44"/>
      <c r="AG399" s="44"/>
    </row>
    <row r="400" spans="1:33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5"/>
      <c r="AF400" s="44"/>
      <c r="AG400" s="44"/>
    </row>
    <row r="401" spans="1:33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5"/>
      <c r="AF401" s="44"/>
      <c r="AG401" s="44"/>
    </row>
    <row r="402" spans="1:33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5"/>
      <c r="AF402" s="44"/>
      <c r="AG402" s="44"/>
    </row>
    <row r="403" spans="1:3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5"/>
      <c r="AF403" s="44"/>
      <c r="AG403" s="44"/>
    </row>
    <row r="404" spans="1:33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5"/>
      <c r="AF404" s="44"/>
      <c r="AG404" s="44"/>
    </row>
    <row r="405" spans="1:33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5"/>
      <c r="AF405" s="44"/>
      <c r="AG405" s="44"/>
    </row>
    <row r="406" spans="1:33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5"/>
      <c r="AF406" s="44"/>
      <c r="AG406" s="44"/>
    </row>
    <row r="407" spans="1:33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5"/>
      <c r="AF407" s="44"/>
      <c r="AG407" s="44"/>
    </row>
    <row r="408" spans="1:33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5"/>
      <c r="AF408" s="44"/>
      <c r="AG408" s="44"/>
    </row>
    <row r="409" spans="1:33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5"/>
      <c r="AF409" s="44"/>
      <c r="AG409" s="44"/>
    </row>
    <row r="410" spans="1:33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5"/>
      <c r="AF410" s="44"/>
      <c r="AG410" s="44"/>
    </row>
    <row r="411" spans="1:33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5"/>
      <c r="AF411" s="44"/>
      <c r="AG411" s="44"/>
    </row>
    <row r="412" spans="1:33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5"/>
      <c r="AF412" s="44"/>
      <c r="AG412" s="44"/>
    </row>
    <row r="413" spans="1:3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5"/>
      <c r="AF413" s="44"/>
      <c r="AG413" s="44"/>
    </row>
    <row r="414" spans="1:33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5"/>
      <c r="AF414" s="44"/>
      <c r="AG414" s="44"/>
    </row>
    <row r="415" spans="1:33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5"/>
      <c r="AF415" s="44"/>
      <c r="AG415" s="44"/>
    </row>
    <row r="416" spans="1:33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5"/>
      <c r="AF416" s="44"/>
      <c r="AG416" s="44"/>
    </row>
    <row r="417" spans="1:33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5"/>
      <c r="AF417" s="44"/>
      <c r="AG417" s="44"/>
    </row>
    <row r="418" spans="1:33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5"/>
      <c r="AF418" s="44"/>
      <c r="AG418" s="44"/>
    </row>
    <row r="419" spans="1:33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5"/>
      <c r="AF419" s="44"/>
      <c r="AG419" s="44"/>
    </row>
    <row r="420" spans="1:33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5"/>
      <c r="AF420" s="44"/>
      <c r="AG420" s="44"/>
    </row>
    <row r="421" spans="1:33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5"/>
      <c r="AF421" s="44"/>
      <c r="AG421" s="44"/>
    </row>
    <row r="422" spans="1:33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5"/>
      <c r="AF422" s="44"/>
      <c r="AG422" s="44"/>
    </row>
    <row r="423" spans="1:3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5"/>
      <c r="AF423" s="44"/>
      <c r="AG423" s="44"/>
    </row>
    <row r="424" spans="1:33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5"/>
      <c r="AF424" s="44"/>
      <c r="AG424" s="44"/>
    </row>
    <row r="425" spans="1:33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5"/>
      <c r="AF425" s="44"/>
      <c r="AG425" s="44"/>
    </row>
    <row r="426" spans="1:33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5"/>
      <c r="AF426" s="44"/>
      <c r="AG426" s="44"/>
    </row>
    <row r="427" spans="1:33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5"/>
      <c r="AF427" s="44"/>
      <c r="AG427" s="44"/>
    </row>
    <row r="428" spans="1:33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5"/>
      <c r="AF428" s="44"/>
      <c r="AG428" s="44"/>
    </row>
    <row r="429" spans="1:33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5"/>
      <c r="AF429" s="44"/>
      <c r="AG429" s="44"/>
    </row>
    <row r="430" spans="1:33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5"/>
      <c r="AF430" s="44"/>
      <c r="AG430" s="44"/>
    </row>
    <row r="431" spans="1:33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5"/>
      <c r="AF431" s="44"/>
      <c r="AG431" s="44"/>
    </row>
    <row r="432" spans="1:33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5"/>
      <c r="AF432" s="44"/>
      <c r="AG432" s="44"/>
    </row>
    <row r="433" spans="1: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5"/>
      <c r="AF433" s="44"/>
      <c r="AG433" s="44"/>
    </row>
    <row r="434" spans="1:33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5"/>
      <c r="AF434" s="44"/>
      <c r="AG434" s="44"/>
    </row>
    <row r="435" spans="1:33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5"/>
      <c r="AF435" s="44"/>
      <c r="AG435" s="44"/>
    </row>
    <row r="436" spans="1:33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5"/>
      <c r="AF436" s="44"/>
      <c r="AG436" s="44"/>
    </row>
    <row r="437" spans="1:33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5"/>
      <c r="AF437" s="44"/>
      <c r="AG437" s="44"/>
    </row>
    <row r="438" spans="1:33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5"/>
      <c r="AF438" s="44"/>
      <c r="AG438" s="44"/>
    </row>
    <row r="439" spans="1:33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5"/>
      <c r="AF439" s="44"/>
      <c r="AG439" s="44"/>
    </row>
    <row r="440" spans="1:33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5"/>
      <c r="AF440" s="44"/>
      <c r="AG440" s="44"/>
    </row>
    <row r="441" spans="1:33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5"/>
      <c r="AF441" s="44"/>
      <c r="AG441" s="44"/>
    </row>
    <row r="442" spans="1:33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5"/>
      <c r="AF442" s="44"/>
      <c r="AG442" s="44"/>
    </row>
    <row r="443" spans="1:3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5"/>
      <c r="AF443" s="44"/>
      <c r="AG443" s="44"/>
    </row>
    <row r="444" spans="1:33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5"/>
      <c r="AF444" s="44"/>
      <c r="AG444" s="44"/>
    </row>
    <row r="445" spans="1:33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5"/>
      <c r="AF445" s="44"/>
      <c r="AG445" s="44"/>
    </row>
    <row r="446" spans="1:33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5"/>
      <c r="AF446" s="44"/>
      <c r="AG446" s="44"/>
    </row>
    <row r="447" spans="1:33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5"/>
      <c r="AF447" s="44"/>
      <c r="AG447" s="44"/>
    </row>
    <row r="448" spans="1:33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5"/>
      <c r="AF448" s="44"/>
      <c r="AG448" s="44"/>
    </row>
    <row r="449" spans="1:33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5"/>
      <c r="AF449" s="44"/>
      <c r="AG449" s="44"/>
    </row>
    <row r="450" spans="1:33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5"/>
      <c r="AF450" s="44"/>
      <c r="AG450" s="44"/>
    </row>
    <row r="451" spans="1:33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5"/>
      <c r="AF451" s="44"/>
      <c r="AG451" s="44"/>
    </row>
    <row r="452" spans="1:33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5"/>
      <c r="AF452" s="44"/>
      <c r="AG452" s="44"/>
    </row>
    <row r="453" spans="1:3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5"/>
      <c r="AF453" s="44"/>
      <c r="AG453" s="44"/>
    </row>
    <row r="454" spans="1:33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5"/>
      <c r="AF454" s="44"/>
      <c r="AG454" s="44"/>
    </row>
    <row r="455" spans="1:33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5"/>
      <c r="AF455" s="44"/>
      <c r="AG455" s="44"/>
    </row>
    <row r="456" spans="1:33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5"/>
      <c r="AF456" s="44"/>
      <c r="AG456" s="44"/>
    </row>
    <row r="457" spans="1:33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5"/>
      <c r="AF457" s="44"/>
      <c r="AG457" s="44"/>
    </row>
    <row r="458" spans="1:33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5"/>
      <c r="AF458" s="44"/>
      <c r="AG458" s="44"/>
    </row>
    <row r="459" spans="1:33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5"/>
      <c r="AF459" s="44"/>
      <c r="AG459" s="44"/>
    </row>
    <row r="460" spans="1:33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5"/>
      <c r="AF460" s="44"/>
      <c r="AG460" s="44"/>
    </row>
    <row r="461" spans="1:33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5"/>
      <c r="AF461" s="44"/>
      <c r="AG461" s="44"/>
    </row>
    <row r="462" spans="1:33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5"/>
      <c r="AF462" s="44"/>
      <c r="AG462" s="44"/>
    </row>
    <row r="463" spans="1:3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5"/>
      <c r="AF463" s="44"/>
      <c r="AG463" s="44"/>
    </row>
    <row r="464" spans="1:33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5"/>
      <c r="AF464" s="44"/>
      <c r="AG464" s="44"/>
    </row>
    <row r="465" spans="1:33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5"/>
      <c r="AF465" s="44"/>
      <c r="AG465" s="44"/>
    </row>
    <row r="466" spans="1:33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5"/>
      <c r="AF466" s="44"/>
      <c r="AG466" s="44"/>
    </row>
    <row r="467" spans="1:33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5"/>
      <c r="AF467" s="44"/>
      <c r="AG467" s="44"/>
    </row>
    <row r="468" spans="1:33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5"/>
      <c r="AF468" s="44"/>
      <c r="AG468" s="44"/>
    </row>
    <row r="469" spans="1:33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5"/>
      <c r="AF469" s="44"/>
      <c r="AG469" s="44"/>
    </row>
    <row r="470" spans="1:33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5"/>
      <c r="AF470" s="44"/>
      <c r="AG470" s="44"/>
    </row>
    <row r="471" spans="1:33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5"/>
      <c r="AF471" s="44"/>
      <c r="AG471" s="44"/>
    </row>
    <row r="472" spans="1:33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5"/>
      <c r="AF472" s="44"/>
      <c r="AG472" s="44"/>
    </row>
    <row r="473" spans="1:3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5"/>
      <c r="AF473" s="44"/>
      <c r="AG473" s="44"/>
    </row>
    <row r="474" spans="1:33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5"/>
      <c r="AF474" s="44"/>
      <c r="AG474" s="44"/>
    </row>
    <row r="475" spans="1:33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5"/>
      <c r="AF475" s="44"/>
      <c r="AG475" s="44"/>
    </row>
    <row r="476" spans="1:33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5"/>
      <c r="AF476" s="44"/>
      <c r="AG476" s="44"/>
    </row>
    <row r="477" spans="1:33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5"/>
      <c r="AF477" s="44"/>
      <c r="AG477" s="44"/>
    </row>
    <row r="478" spans="1:33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5"/>
      <c r="AF478" s="44"/>
      <c r="AG478" s="44"/>
    </row>
    <row r="479" spans="1:33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5"/>
      <c r="AF479" s="44"/>
      <c r="AG479" s="44"/>
    </row>
    <row r="480" spans="1:33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5"/>
      <c r="AF480" s="44"/>
      <c r="AG480" s="44"/>
    </row>
    <row r="481" spans="1:33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5"/>
      <c r="AF481" s="44"/>
      <c r="AG481" s="44"/>
    </row>
    <row r="482" spans="1:33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5"/>
      <c r="AF482" s="44"/>
      <c r="AG482" s="44"/>
    </row>
    <row r="483" spans="1:3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5"/>
      <c r="AF483" s="44"/>
      <c r="AG483" s="44"/>
    </row>
    <row r="484" spans="1:33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5"/>
      <c r="AF484" s="44"/>
      <c r="AG484" s="44"/>
    </row>
    <row r="485" spans="1:33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5"/>
      <c r="AF485" s="44"/>
      <c r="AG485" s="44"/>
    </row>
    <row r="486" spans="1:33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5"/>
      <c r="AF486" s="44"/>
      <c r="AG486" s="44"/>
    </row>
    <row r="487" spans="1:33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5"/>
      <c r="AF487" s="44"/>
      <c r="AG487" s="44"/>
    </row>
    <row r="488" spans="1:33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5"/>
      <c r="AF488" s="44"/>
      <c r="AG488" s="44"/>
    </row>
    <row r="489" spans="1:33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5"/>
      <c r="AF489" s="44"/>
      <c r="AG489" s="44"/>
    </row>
    <row r="490" spans="1:33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5"/>
      <c r="AF490" s="44"/>
      <c r="AG490" s="44"/>
    </row>
    <row r="491" spans="1:33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5"/>
      <c r="AF491" s="44"/>
      <c r="AG491" s="44"/>
    </row>
    <row r="492" spans="1:33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5"/>
      <c r="AF492" s="44"/>
      <c r="AG492" s="44"/>
    </row>
    <row r="493" spans="1:3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5"/>
      <c r="AF493" s="44"/>
      <c r="AG493" s="44"/>
    </row>
    <row r="494" spans="1:33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5"/>
      <c r="AF494" s="44"/>
      <c r="AG494" s="44"/>
    </row>
    <row r="495" spans="1:33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5"/>
      <c r="AF495" s="44"/>
      <c r="AG495" s="44"/>
    </row>
    <row r="496" spans="1:33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5"/>
      <c r="AF496" s="44"/>
      <c r="AG496" s="44"/>
    </row>
    <row r="497" spans="1:33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5"/>
      <c r="AF497" s="44"/>
      <c r="AG497" s="44"/>
    </row>
    <row r="498" spans="1:33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5"/>
      <c r="AF498" s="44"/>
      <c r="AG498" s="44"/>
    </row>
    <row r="499" spans="1:33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5"/>
      <c r="AF499" s="44"/>
      <c r="AG499" s="44"/>
    </row>
    <row r="500" spans="1:33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5"/>
      <c r="AF500" s="44"/>
      <c r="AG500" s="44"/>
    </row>
    <row r="501" spans="1:33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5"/>
      <c r="AF501" s="44"/>
      <c r="AG501" s="44"/>
    </row>
    <row r="502" spans="1:33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5"/>
      <c r="AF502" s="44"/>
      <c r="AG502" s="44"/>
    </row>
    <row r="503" spans="1:3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5"/>
      <c r="AF503" s="44"/>
      <c r="AG503" s="44"/>
    </row>
    <row r="504" spans="1:33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5"/>
      <c r="AF504" s="44"/>
      <c r="AG504" s="44"/>
    </row>
    <row r="505" spans="1:33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5"/>
      <c r="AF505" s="44"/>
      <c r="AG505" s="44"/>
    </row>
    <row r="506" spans="1:33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5"/>
      <c r="AF506" s="44"/>
      <c r="AG506" s="44"/>
    </row>
    <row r="507" spans="1:33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5"/>
      <c r="AF507" s="44"/>
      <c r="AG507" s="44"/>
    </row>
    <row r="508" spans="1:33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5"/>
      <c r="AF508" s="44"/>
      <c r="AG508" s="44"/>
    </row>
    <row r="509" spans="1:33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5"/>
      <c r="AF509" s="44"/>
      <c r="AG509" s="44"/>
    </row>
    <row r="510" spans="1:33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5"/>
      <c r="AF510" s="44"/>
      <c r="AG510" s="44"/>
    </row>
    <row r="511" spans="1:33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5"/>
      <c r="AF511" s="44"/>
      <c r="AG511" s="44"/>
    </row>
    <row r="512" spans="1:33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5"/>
      <c r="AF512" s="44"/>
      <c r="AG512" s="44"/>
    </row>
    <row r="513" spans="1:3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5"/>
      <c r="AF513" s="44"/>
      <c r="AG513" s="44"/>
    </row>
    <row r="514" spans="1:33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5"/>
      <c r="AF514" s="44"/>
      <c r="AG514" s="44"/>
    </row>
    <row r="515" spans="1:33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5"/>
      <c r="AF515" s="44"/>
      <c r="AG515" s="44"/>
    </row>
    <row r="516" spans="1:33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5"/>
      <c r="AF516" s="44"/>
      <c r="AG516" s="44"/>
    </row>
    <row r="517" spans="1:33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5"/>
      <c r="AF517" s="44"/>
      <c r="AG517" s="44"/>
    </row>
    <row r="518" spans="1:33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5"/>
      <c r="AF518" s="44"/>
      <c r="AG518" s="44"/>
    </row>
    <row r="519" spans="1:33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5"/>
      <c r="AF519" s="44"/>
      <c r="AG519" s="44"/>
    </row>
    <row r="520" spans="1:33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5"/>
      <c r="AF520" s="44"/>
      <c r="AG520" s="44"/>
    </row>
    <row r="521" spans="1:33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5"/>
      <c r="AF521" s="44"/>
      <c r="AG521" s="44"/>
    </row>
    <row r="522" spans="1:33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5"/>
      <c r="AF522" s="44"/>
      <c r="AG522" s="44"/>
    </row>
    <row r="523" spans="1:3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5"/>
      <c r="AF523" s="44"/>
      <c r="AG523" s="44"/>
    </row>
    <row r="524" spans="1:33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5"/>
      <c r="AF524" s="44"/>
      <c r="AG524" s="44"/>
    </row>
    <row r="525" spans="1:33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5"/>
      <c r="AF525" s="44"/>
      <c r="AG525" s="44"/>
    </row>
    <row r="526" spans="1:33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5"/>
      <c r="AF526" s="44"/>
      <c r="AG526" s="44"/>
    </row>
    <row r="527" spans="1:33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5"/>
      <c r="AF527" s="44"/>
      <c r="AG527" s="44"/>
    </row>
    <row r="528" spans="1:33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5"/>
      <c r="AF528" s="44"/>
      <c r="AG528" s="44"/>
    </row>
    <row r="529" spans="1:33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5"/>
      <c r="AF529" s="44"/>
      <c r="AG529" s="44"/>
    </row>
    <row r="530" spans="1:33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5"/>
      <c r="AF530" s="44"/>
      <c r="AG530" s="44"/>
    </row>
    <row r="531" spans="1:33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5"/>
      <c r="AF531" s="44"/>
      <c r="AG531" s="44"/>
    </row>
    <row r="532" spans="1:33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5"/>
      <c r="AF532" s="44"/>
      <c r="AG532" s="44"/>
    </row>
    <row r="533" spans="1: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5"/>
      <c r="AF533" s="44"/>
      <c r="AG533" s="44"/>
    </row>
    <row r="534" spans="1:33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5"/>
      <c r="AF534" s="44"/>
      <c r="AG534" s="44"/>
    </row>
    <row r="535" spans="1:33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5"/>
      <c r="AF535" s="44"/>
      <c r="AG535" s="44"/>
    </row>
    <row r="536" spans="1:33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5"/>
      <c r="AF536" s="44"/>
      <c r="AG536" s="44"/>
    </row>
    <row r="537" spans="1:33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5"/>
      <c r="AF537" s="44"/>
      <c r="AG537" s="44"/>
    </row>
    <row r="538" spans="1:33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5"/>
      <c r="AF538" s="44"/>
      <c r="AG538" s="44"/>
    </row>
    <row r="539" spans="1:33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5"/>
      <c r="AF539" s="44"/>
      <c r="AG539" s="44"/>
    </row>
    <row r="540" spans="1:33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5"/>
      <c r="AF540" s="44"/>
      <c r="AG540" s="44"/>
    </row>
    <row r="541" spans="1:33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5"/>
      <c r="AF541" s="44"/>
      <c r="AG541" s="44"/>
    </row>
    <row r="542" spans="1:33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5"/>
      <c r="AF542" s="44"/>
      <c r="AG542" s="44"/>
    </row>
    <row r="543" spans="1:3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5"/>
      <c r="AF543" s="44"/>
      <c r="AG543" s="44"/>
    </row>
    <row r="544" spans="1:33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5"/>
      <c r="AF544" s="44"/>
      <c r="AG544" s="44"/>
    </row>
    <row r="545" spans="1:33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5"/>
      <c r="AF545" s="44"/>
      <c r="AG545" s="44"/>
    </row>
    <row r="546" spans="1:33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5"/>
      <c r="AF546" s="44"/>
      <c r="AG546" s="44"/>
    </row>
    <row r="547" spans="1:33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5"/>
      <c r="AF547" s="44"/>
      <c r="AG547" s="44"/>
    </row>
    <row r="548" spans="1:33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5"/>
      <c r="AF548" s="44"/>
      <c r="AG548" s="44"/>
    </row>
    <row r="549" spans="1:33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5"/>
      <c r="AF549" s="44"/>
      <c r="AG549" s="44"/>
    </row>
    <row r="550" spans="1:33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5"/>
      <c r="AF550" s="44"/>
      <c r="AG550" s="44"/>
    </row>
    <row r="551" spans="1:33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5"/>
      <c r="AF551" s="44"/>
      <c r="AG551" s="44"/>
    </row>
    <row r="552" spans="1:33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5"/>
      <c r="AF552" s="44"/>
      <c r="AG552" s="44"/>
    </row>
    <row r="553" spans="1:3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5"/>
      <c r="AF553" s="44"/>
      <c r="AG553" s="44"/>
    </row>
    <row r="554" spans="1:33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5"/>
      <c r="AF554" s="44"/>
      <c r="AG554" s="44"/>
    </row>
    <row r="555" spans="1:33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5"/>
      <c r="AF555" s="44"/>
      <c r="AG555" s="44"/>
    </row>
    <row r="556" spans="1:33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5"/>
      <c r="AF556" s="44"/>
      <c r="AG556" s="44"/>
    </row>
    <row r="557" spans="1:33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5"/>
      <c r="AF557" s="44"/>
      <c r="AG557" s="44"/>
    </row>
    <row r="558" spans="1:33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5"/>
      <c r="AF558" s="44"/>
      <c r="AG558" s="44"/>
    </row>
    <row r="559" spans="1:33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5"/>
      <c r="AF559" s="44"/>
      <c r="AG559" s="44"/>
    </row>
    <row r="560" spans="1:33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5"/>
      <c r="AF560" s="44"/>
      <c r="AG560" s="44"/>
    </row>
    <row r="561" spans="1:33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5"/>
      <c r="AF561" s="44"/>
      <c r="AG561" s="44"/>
    </row>
    <row r="562" spans="1:33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5"/>
      <c r="AF562" s="44"/>
      <c r="AG562" s="44"/>
    </row>
    <row r="563" spans="1:3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5"/>
      <c r="AF563" s="44"/>
      <c r="AG563" s="44"/>
    </row>
    <row r="564" spans="1:33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5"/>
      <c r="AF564" s="44"/>
      <c r="AG564" s="44"/>
    </row>
    <row r="565" spans="1:33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5"/>
      <c r="AF565" s="44"/>
      <c r="AG565" s="44"/>
    </row>
    <row r="566" spans="1:33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5"/>
      <c r="AF566" s="44"/>
      <c r="AG566" s="44"/>
    </row>
    <row r="567" spans="1:33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5"/>
      <c r="AF567" s="44"/>
      <c r="AG567" s="44"/>
    </row>
    <row r="568" spans="1:33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5"/>
      <c r="AF568" s="44"/>
      <c r="AG568" s="44"/>
    </row>
    <row r="569" spans="1:33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5"/>
      <c r="AF569" s="44"/>
      <c r="AG569" s="44"/>
    </row>
    <row r="570" spans="1:33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5"/>
      <c r="AF570" s="44"/>
      <c r="AG570" s="44"/>
    </row>
    <row r="571" spans="1:33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5"/>
      <c r="AF571" s="44"/>
      <c r="AG571" s="44"/>
    </row>
    <row r="572" spans="1:33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5"/>
      <c r="AF572" s="44"/>
      <c r="AG572" s="44"/>
    </row>
    <row r="573" spans="1:3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5"/>
      <c r="AF573" s="44"/>
      <c r="AG573" s="44"/>
    </row>
    <row r="574" spans="1:33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5"/>
      <c r="AF574" s="44"/>
      <c r="AG574" s="44"/>
    </row>
    <row r="575" spans="1:33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5"/>
      <c r="AF575" s="44"/>
      <c r="AG575" s="44"/>
    </row>
    <row r="576" spans="1:33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5"/>
      <c r="AF576" s="44"/>
      <c r="AG576" s="44"/>
    </row>
    <row r="577" spans="1:33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5"/>
      <c r="AF577" s="44"/>
      <c r="AG577" s="44"/>
    </row>
    <row r="578" spans="1:33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5"/>
      <c r="AF578" s="44"/>
      <c r="AG578" s="44"/>
    </row>
    <row r="579" spans="1:33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5"/>
      <c r="AF579" s="44"/>
      <c r="AG579" s="44"/>
    </row>
    <row r="580" spans="1:33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5"/>
      <c r="AF580" s="44"/>
      <c r="AG580" s="44"/>
    </row>
    <row r="581" spans="1:33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5"/>
      <c r="AF581" s="44"/>
      <c r="AG581" s="44"/>
    </row>
    <row r="582" spans="1:33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5"/>
      <c r="AF582" s="44"/>
      <c r="AG582" s="44"/>
    </row>
    <row r="583" spans="1:3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5"/>
      <c r="AF583" s="44"/>
      <c r="AG583" s="44"/>
    </row>
    <row r="584" spans="1:33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5"/>
      <c r="AF584" s="44"/>
      <c r="AG584" s="44"/>
    </row>
    <row r="585" spans="1:33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5"/>
      <c r="AF585" s="44"/>
      <c r="AG585" s="44"/>
    </row>
    <row r="586" spans="1:33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5"/>
      <c r="AF586" s="44"/>
      <c r="AG586" s="44"/>
    </row>
    <row r="587" spans="1:33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5"/>
      <c r="AF587" s="44"/>
      <c r="AG587" s="44"/>
    </row>
    <row r="588" spans="1:33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5"/>
      <c r="AF588" s="44"/>
      <c r="AG588" s="44"/>
    </row>
    <row r="589" spans="1:33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5"/>
      <c r="AF589" s="44"/>
      <c r="AG589" s="44"/>
    </row>
    <row r="590" spans="1:33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5"/>
      <c r="AF590" s="44"/>
      <c r="AG590" s="44"/>
    </row>
    <row r="591" spans="1:33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5"/>
      <c r="AF591" s="44"/>
      <c r="AG591" s="44"/>
    </row>
    <row r="592" spans="1:33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5"/>
      <c r="AF592" s="44"/>
      <c r="AG592" s="44"/>
    </row>
    <row r="593" spans="1:3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5"/>
      <c r="AF593" s="44"/>
      <c r="AG593" s="44"/>
    </row>
    <row r="594" spans="1:33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5"/>
      <c r="AF594" s="44"/>
      <c r="AG594" s="44"/>
    </row>
    <row r="595" spans="1:33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5"/>
      <c r="AF595" s="44"/>
      <c r="AG595" s="44"/>
    </row>
    <row r="596" spans="1:33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5"/>
      <c r="AF596" s="44"/>
      <c r="AG596" s="44"/>
    </row>
    <row r="597" spans="1:33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5"/>
      <c r="AF597" s="44"/>
      <c r="AG597" s="44"/>
    </row>
    <row r="598" spans="1:33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5"/>
      <c r="AF598" s="44"/>
      <c r="AG598" s="44"/>
    </row>
    <row r="599" spans="1:33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5"/>
      <c r="AF599" s="44"/>
      <c r="AG599" s="44"/>
    </row>
    <row r="600" spans="1:33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5"/>
      <c r="AF600" s="44"/>
      <c r="AG600" s="44"/>
    </row>
    <row r="601" spans="1:33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5"/>
      <c r="AF601" s="44"/>
      <c r="AG601" s="44"/>
    </row>
    <row r="602" spans="1:33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5"/>
      <c r="AF602" s="44"/>
      <c r="AG602" s="44"/>
    </row>
    <row r="603" spans="1:3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5"/>
      <c r="AF603" s="44"/>
      <c r="AG603" s="44"/>
    </row>
    <row r="604" spans="1:33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5"/>
      <c r="AF604" s="44"/>
      <c r="AG604" s="44"/>
    </row>
    <row r="605" spans="1:33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5"/>
      <c r="AF605" s="44"/>
      <c r="AG605" s="44"/>
    </row>
    <row r="606" spans="1:33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5"/>
      <c r="AF606" s="44"/>
      <c r="AG606" s="44"/>
    </row>
    <row r="607" spans="1:33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5"/>
      <c r="AF607" s="44"/>
      <c r="AG607" s="44"/>
    </row>
    <row r="608" spans="1:33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5"/>
      <c r="AF608" s="44"/>
      <c r="AG608" s="44"/>
    </row>
    <row r="609" spans="1:33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5"/>
      <c r="AF609" s="44"/>
      <c r="AG609" s="44"/>
    </row>
    <row r="610" spans="1:33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5"/>
      <c r="AF610" s="44"/>
      <c r="AG610" s="44"/>
    </row>
    <row r="611" spans="1:33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5"/>
      <c r="AF611" s="44"/>
      <c r="AG611" s="44"/>
    </row>
    <row r="612" spans="1:33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5"/>
      <c r="AF612" s="44"/>
      <c r="AG612" s="44"/>
    </row>
    <row r="613" spans="1:3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5"/>
      <c r="AF613" s="44"/>
      <c r="AG613" s="44"/>
    </row>
    <row r="614" spans="1:33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5"/>
      <c r="AF614" s="44"/>
      <c r="AG614" s="44"/>
    </row>
    <row r="615" spans="1:33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5"/>
      <c r="AF615" s="44"/>
      <c r="AG615" s="44"/>
    </row>
    <row r="616" spans="1:33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5"/>
      <c r="AF616" s="44"/>
      <c r="AG616" s="44"/>
    </row>
    <row r="617" spans="1:33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5"/>
      <c r="AF617" s="44"/>
      <c r="AG617" s="44"/>
    </row>
    <row r="618" spans="1:33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5"/>
      <c r="AF618" s="44"/>
      <c r="AG618" s="44"/>
    </row>
    <row r="619" spans="1:33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5"/>
      <c r="AF619" s="44"/>
      <c r="AG619" s="44"/>
    </row>
    <row r="620" spans="1:33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5"/>
      <c r="AF620" s="44"/>
      <c r="AG620" s="44"/>
    </row>
    <row r="621" spans="1:33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5"/>
      <c r="AF621" s="44"/>
      <c r="AG621" s="44"/>
    </row>
    <row r="622" spans="1:33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5"/>
      <c r="AF622" s="44"/>
      <c r="AG622" s="44"/>
    </row>
    <row r="623" spans="1:3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5"/>
      <c r="AF623" s="44"/>
      <c r="AG623" s="44"/>
    </row>
    <row r="624" spans="1:33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5"/>
      <c r="AF624" s="44"/>
      <c r="AG624" s="44"/>
    </row>
    <row r="625" spans="1:33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5"/>
      <c r="AF625" s="44"/>
      <c r="AG625" s="44"/>
    </row>
    <row r="626" spans="1:33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5"/>
      <c r="AF626" s="44"/>
      <c r="AG626" s="44"/>
    </row>
    <row r="627" spans="1:33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5"/>
      <c r="AF627" s="44"/>
      <c r="AG627" s="44"/>
    </row>
    <row r="628" spans="1:33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5"/>
      <c r="AF628" s="44"/>
      <c r="AG628" s="44"/>
    </row>
    <row r="629" spans="1:33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5"/>
      <c r="AF629" s="44"/>
      <c r="AG629" s="44"/>
    </row>
    <row r="630" spans="1:33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5"/>
      <c r="AF630" s="44"/>
      <c r="AG630" s="44"/>
    </row>
    <row r="631" spans="1:33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5"/>
      <c r="AF631" s="44"/>
      <c r="AG631" s="44"/>
    </row>
    <row r="632" spans="1:33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5"/>
      <c r="AF632" s="44"/>
      <c r="AG632" s="44"/>
    </row>
    <row r="633" spans="1: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5"/>
      <c r="AF633" s="44"/>
      <c r="AG633" s="44"/>
    </row>
    <row r="634" spans="1:33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5"/>
      <c r="AF634" s="44"/>
      <c r="AG634" s="44"/>
    </row>
    <row r="635" spans="1:33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5"/>
      <c r="AF635" s="44"/>
      <c r="AG635" s="44"/>
    </row>
    <row r="636" spans="1:33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5"/>
      <c r="AF636" s="44"/>
      <c r="AG636" s="44"/>
    </row>
    <row r="637" spans="1:33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5"/>
      <c r="AF637" s="44"/>
      <c r="AG637" s="44"/>
    </row>
    <row r="638" spans="1:33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5"/>
      <c r="AF638" s="44"/>
      <c r="AG638" s="44"/>
    </row>
    <row r="639" spans="1:33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5"/>
      <c r="AF639" s="44"/>
      <c r="AG639" s="44"/>
    </row>
    <row r="640" spans="1:33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5"/>
      <c r="AF640" s="44"/>
      <c r="AG640" s="44"/>
    </row>
    <row r="641" spans="1:33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5"/>
      <c r="AF641" s="44"/>
      <c r="AG641" s="44"/>
    </row>
    <row r="642" spans="1:33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5"/>
      <c r="AF642" s="44"/>
      <c r="AG642" s="44"/>
    </row>
    <row r="643" spans="1:3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5"/>
      <c r="AF643" s="44"/>
      <c r="AG643" s="44"/>
    </row>
    <row r="644" spans="1:33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5"/>
      <c r="AF644" s="44"/>
      <c r="AG644" s="44"/>
    </row>
    <row r="645" spans="1:33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5"/>
      <c r="AF645" s="44"/>
      <c r="AG645" s="44"/>
    </row>
    <row r="646" spans="1:33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5"/>
      <c r="AF646" s="44"/>
      <c r="AG646" s="44"/>
    </row>
    <row r="647" spans="1:33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5"/>
      <c r="AF647" s="44"/>
      <c r="AG647" s="44"/>
    </row>
    <row r="648" spans="1:33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5"/>
      <c r="AF648" s="44"/>
      <c r="AG648" s="44"/>
    </row>
    <row r="649" spans="1:33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5"/>
      <c r="AF649" s="44"/>
      <c r="AG649" s="44"/>
    </row>
    <row r="650" spans="1:33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5"/>
      <c r="AF650" s="44"/>
      <c r="AG650" s="44"/>
    </row>
    <row r="651" spans="1:33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5"/>
      <c r="AF651" s="44"/>
      <c r="AG651" s="44"/>
    </row>
    <row r="652" spans="1:33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5"/>
      <c r="AF652" s="44"/>
      <c r="AG652" s="44"/>
    </row>
    <row r="653" spans="1:3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5"/>
      <c r="AF653" s="44"/>
      <c r="AG653" s="44"/>
    </row>
    <row r="654" spans="1:33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5"/>
      <c r="AF654" s="44"/>
      <c r="AG654" s="44"/>
    </row>
    <row r="655" spans="1:33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5"/>
      <c r="AF655" s="44"/>
      <c r="AG655" s="44"/>
    </row>
    <row r="656" spans="1:33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5"/>
      <c r="AF656" s="44"/>
      <c r="AG656" s="44"/>
    </row>
    <row r="657" spans="1:33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5"/>
      <c r="AF657" s="44"/>
      <c r="AG657" s="44"/>
    </row>
    <row r="658" spans="1:33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5"/>
      <c r="AF658" s="44"/>
      <c r="AG658" s="44"/>
    </row>
    <row r="659" spans="1:33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5"/>
      <c r="AF659" s="44"/>
      <c r="AG659" s="44"/>
    </row>
    <row r="660" spans="1:33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5"/>
      <c r="AF660" s="44"/>
      <c r="AG660" s="44"/>
    </row>
    <row r="661" spans="1:33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5"/>
      <c r="AF661" s="44"/>
      <c r="AG661" s="44"/>
    </row>
    <row r="662" spans="1:33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5"/>
      <c r="AF662" s="44"/>
      <c r="AG662" s="44"/>
    </row>
    <row r="663" spans="1:3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5"/>
      <c r="AF663" s="44"/>
      <c r="AG663" s="44"/>
    </row>
    <row r="664" spans="1:33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5"/>
      <c r="AF664" s="44"/>
      <c r="AG664" s="44"/>
    </row>
    <row r="665" spans="1:33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5"/>
      <c r="AF665" s="44"/>
      <c r="AG665" s="44"/>
    </row>
    <row r="666" spans="1:33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5"/>
      <c r="AF666" s="44"/>
      <c r="AG666" s="44"/>
    </row>
    <row r="667" spans="1:33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5"/>
      <c r="AF667" s="44"/>
      <c r="AG667" s="44"/>
    </row>
    <row r="668" spans="1:33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5"/>
      <c r="AF668" s="44"/>
      <c r="AG668" s="44"/>
    </row>
    <row r="669" spans="1:33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5"/>
      <c r="AF669" s="44"/>
      <c r="AG669" s="44"/>
    </row>
    <row r="670" spans="1:33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5"/>
      <c r="AF670" s="44"/>
      <c r="AG670" s="44"/>
    </row>
    <row r="671" spans="1:33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5"/>
      <c r="AF671" s="44"/>
      <c r="AG671" s="44"/>
    </row>
    <row r="672" spans="1:33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5"/>
      <c r="AF672" s="44"/>
      <c r="AG672" s="44"/>
    </row>
    <row r="673" spans="1:3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5"/>
      <c r="AF673" s="44"/>
      <c r="AG673" s="44"/>
    </row>
    <row r="674" spans="1:33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5"/>
      <c r="AF674" s="44"/>
      <c r="AG674" s="44"/>
    </row>
    <row r="675" spans="1:33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5"/>
      <c r="AF675" s="44"/>
      <c r="AG675" s="44"/>
    </row>
    <row r="676" spans="1:33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5"/>
      <c r="AF676" s="44"/>
      <c r="AG676" s="44"/>
    </row>
    <row r="677" spans="1:33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5"/>
      <c r="AF677" s="44"/>
      <c r="AG677" s="44"/>
    </row>
    <row r="678" spans="1:33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5"/>
      <c r="AF678" s="44"/>
      <c r="AG678" s="44"/>
    </row>
    <row r="679" spans="1:33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5"/>
      <c r="AF679" s="44"/>
      <c r="AG679" s="44"/>
    </row>
    <row r="680" spans="1:33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5"/>
      <c r="AF680" s="44"/>
      <c r="AG680" s="44"/>
    </row>
    <row r="681" spans="1:33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5"/>
      <c r="AF681" s="44"/>
      <c r="AG681" s="44"/>
    </row>
    <row r="682" spans="1:33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5"/>
      <c r="AF682" s="44"/>
      <c r="AG682" s="44"/>
    </row>
    <row r="683" spans="1:3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5"/>
      <c r="AF683" s="44"/>
      <c r="AG683" s="44"/>
    </row>
    <row r="684" spans="1:33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5"/>
      <c r="AF684" s="44"/>
      <c r="AG684" s="44"/>
    </row>
    <row r="685" spans="1:33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5"/>
      <c r="AF685" s="44"/>
      <c r="AG685" s="44"/>
    </row>
    <row r="686" spans="1:33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5"/>
      <c r="AF686" s="44"/>
      <c r="AG686" s="44"/>
    </row>
    <row r="687" spans="1:33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5"/>
      <c r="AF687" s="44"/>
      <c r="AG687" s="44"/>
    </row>
    <row r="688" spans="1:33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5"/>
      <c r="AF688" s="44"/>
      <c r="AG688" s="44"/>
    </row>
    <row r="689" spans="1:33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5"/>
      <c r="AF689" s="44"/>
      <c r="AG689" s="44"/>
    </row>
    <row r="690" spans="1:33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5"/>
      <c r="AF690" s="44"/>
      <c r="AG690" s="44"/>
    </row>
    <row r="691" spans="1:33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5"/>
      <c r="AF691" s="44"/>
      <c r="AG691" s="44"/>
    </row>
    <row r="692" spans="1:33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5"/>
      <c r="AF692" s="44"/>
      <c r="AG692" s="44"/>
    </row>
    <row r="693" spans="1:3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5"/>
      <c r="AF693" s="44"/>
      <c r="AG693" s="44"/>
    </row>
    <row r="694" spans="1:33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5"/>
      <c r="AF694" s="44"/>
      <c r="AG694" s="44"/>
    </row>
    <row r="695" spans="1:33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5"/>
      <c r="AF695" s="44"/>
      <c r="AG695" s="44"/>
    </row>
    <row r="696" spans="1:33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5"/>
      <c r="AF696" s="44"/>
      <c r="AG696" s="44"/>
    </row>
    <row r="697" spans="1:33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5"/>
      <c r="AF697" s="44"/>
      <c r="AG697" s="44"/>
    </row>
    <row r="698" spans="1:33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5"/>
      <c r="AF698" s="44"/>
      <c r="AG698" s="44"/>
    </row>
    <row r="699" spans="1:33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5"/>
      <c r="AF699" s="44"/>
      <c r="AG699" s="44"/>
    </row>
    <row r="700" spans="1:33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5"/>
      <c r="AF700" s="44"/>
      <c r="AG700" s="44"/>
    </row>
    <row r="701" spans="1:33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5"/>
      <c r="AF701" s="44"/>
      <c r="AG701" s="44"/>
    </row>
    <row r="702" spans="1:33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5"/>
      <c r="AF702" s="44"/>
      <c r="AG702" s="44"/>
    </row>
    <row r="703" spans="1:3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5"/>
      <c r="AF703" s="44"/>
      <c r="AG703" s="44"/>
    </row>
    <row r="704" spans="1:33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5"/>
      <c r="AF704" s="44"/>
      <c r="AG704" s="44"/>
    </row>
    <row r="705" spans="1:33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5"/>
      <c r="AF705" s="44"/>
      <c r="AG705" s="44"/>
    </row>
    <row r="706" spans="1:33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5"/>
      <c r="AF706" s="44"/>
      <c r="AG706" s="44"/>
    </row>
    <row r="707" spans="1:33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5"/>
      <c r="AF707" s="44"/>
      <c r="AG707" s="44"/>
    </row>
    <row r="708" spans="1:33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5"/>
      <c r="AF708" s="44"/>
      <c r="AG708" s="44"/>
    </row>
    <row r="709" spans="1:33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5"/>
      <c r="AF709" s="44"/>
      <c r="AG709" s="44"/>
    </row>
    <row r="710" spans="1:33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5"/>
      <c r="AF710" s="44"/>
      <c r="AG710" s="44"/>
    </row>
    <row r="711" spans="1:33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5"/>
      <c r="AF711" s="44"/>
      <c r="AG711" s="44"/>
    </row>
    <row r="712" spans="1:33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5"/>
      <c r="AF712" s="44"/>
      <c r="AG712" s="44"/>
    </row>
    <row r="713" spans="1:3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5"/>
      <c r="AF713" s="44"/>
      <c r="AG713" s="44"/>
    </row>
    <row r="714" spans="1:33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5"/>
      <c r="AF714" s="44"/>
      <c r="AG714" s="44"/>
    </row>
    <row r="715" spans="1:33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5"/>
      <c r="AF715" s="44"/>
      <c r="AG715" s="44"/>
    </row>
    <row r="716" spans="1:33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5"/>
      <c r="AF716" s="44"/>
      <c r="AG716" s="44"/>
    </row>
    <row r="717" spans="1:33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5"/>
      <c r="AF717" s="44"/>
      <c r="AG717" s="44"/>
    </row>
    <row r="718" spans="1:33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5"/>
      <c r="AF718" s="44"/>
      <c r="AG718" s="44"/>
    </row>
    <row r="719" spans="1:33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5"/>
      <c r="AF719" s="44"/>
      <c r="AG719" s="44"/>
    </row>
    <row r="720" spans="1:33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5"/>
      <c r="AF720" s="44"/>
      <c r="AG720" s="44"/>
    </row>
    <row r="721" spans="1:33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5"/>
      <c r="AF721" s="44"/>
      <c r="AG721" s="44"/>
    </row>
    <row r="722" spans="1:33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5"/>
      <c r="AF722" s="44"/>
      <c r="AG722" s="44"/>
    </row>
    <row r="723" spans="1:3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5"/>
      <c r="AF723" s="44"/>
      <c r="AG723" s="44"/>
    </row>
    <row r="724" spans="1:33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5"/>
      <c r="AF724" s="44"/>
      <c r="AG724" s="44"/>
    </row>
    <row r="725" spans="1:33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5"/>
      <c r="AF725" s="44"/>
      <c r="AG725" s="44"/>
    </row>
    <row r="726" spans="1:33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5"/>
      <c r="AF726" s="44"/>
      <c r="AG726" s="44"/>
    </row>
    <row r="727" spans="1:33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5"/>
      <c r="AF727" s="44"/>
      <c r="AG727" s="44"/>
    </row>
    <row r="728" spans="1:33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5"/>
      <c r="AF728" s="44"/>
      <c r="AG728" s="44"/>
    </row>
    <row r="729" spans="1:33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5"/>
      <c r="AF729" s="44"/>
      <c r="AG729" s="44"/>
    </row>
    <row r="730" spans="1:33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5"/>
      <c r="AF730" s="44"/>
      <c r="AG730" s="44"/>
    </row>
    <row r="731" spans="1:33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5"/>
      <c r="AF731" s="44"/>
      <c r="AG731" s="44"/>
    </row>
    <row r="732" spans="1:33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5"/>
      <c r="AF732" s="44"/>
      <c r="AG732" s="44"/>
    </row>
    <row r="733" spans="1: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5"/>
      <c r="AF733" s="44"/>
      <c r="AG733" s="44"/>
    </row>
    <row r="734" spans="1:33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5"/>
      <c r="AF734" s="44"/>
      <c r="AG734" s="44"/>
    </row>
    <row r="735" spans="1:33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5"/>
      <c r="AF735" s="44"/>
      <c r="AG735" s="44"/>
    </row>
    <row r="736" spans="1:33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5"/>
      <c r="AF736" s="44"/>
      <c r="AG736" s="44"/>
    </row>
    <row r="737" spans="1:33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5"/>
      <c r="AF737" s="44"/>
      <c r="AG737" s="44"/>
    </row>
    <row r="738" spans="1:33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5"/>
      <c r="AF738" s="44"/>
      <c r="AG738" s="44"/>
    </row>
    <row r="739" spans="1:33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5"/>
      <c r="AF739" s="44"/>
      <c r="AG739" s="44"/>
    </row>
    <row r="740" spans="1:33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5"/>
      <c r="AF740" s="44"/>
      <c r="AG740" s="44"/>
    </row>
    <row r="741" spans="1:33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5"/>
      <c r="AF741" s="44"/>
      <c r="AG741" s="44"/>
    </row>
    <row r="742" spans="1:33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5"/>
      <c r="AF742" s="44"/>
      <c r="AG742" s="44"/>
    </row>
    <row r="743" spans="1:3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5"/>
      <c r="AF743" s="44"/>
      <c r="AG743" s="44"/>
    </row>
    <row r="744" spans="1:33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5"/>
      <c r="AF744" s="44"/>
      <c r="AG744" s="44"/>
    </row>
    <row r="745" spans="1:33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5"/>
      <c r="AF745" s="44"/>
      <c r="AG745" s="44"/>
    </row>
    <row r="746" spans="1:33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5"/>
      <c r="AF746" s="44"/>
      <c r="AG746" s="44"/>
    </row>
    <row r="747" spans="1:33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5"/>
      <c r="AF747" s="44"/>
      <c r="AG747" s="44"/>
    </row>
    <row r="748" spans="1:33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5"/>
      <c r="AF748" s="44"/>
      <c r="AG748" s="44"/>
    </row>
    <row r="749" spans="1:33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5"/>
      <c r="AF749" s="44"/>
      <c r="AG749" s="44"/>
    </row>
    <row r="750" spans="1:33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5"/>
      <c r="AF750" s="44"/>
      <c r="AG750" s="44"/>
    </row>
    <row r="751" spans="1:33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5"/>
      <c r="AF751" s="44"/>
      <c r="AG751" s="44"/>
    </row>
    <row r="752" spans="1:33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5"/>
      <c r="AF752" s="44"/>
      <c r="AG752" s="44"/>
    </row>
    <row r="753" spans="1:3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5"/>
      <c r="AF753" s="44"/>
      <c r="AG753" s="44"/>
    </row>
    <row r="754" spans="1:33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5"/>
      <c r="AF754" s="44"/>
      <c r="AG754" s="44"/>
    </row>
    <row r="755" spans="1:33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5"/>
      <c r="AF755" s="44"/>
      <c r="AG755" s="44"/>
    </row>
    <row r="756" spans="1:33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5"/>
      <c r="AF756" s="44"/>
      <c r="AG756" s="44"/>
    </row>
    <row r="757" spans="1:33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5"/>
      <c r="AF757" s="44"/>
      <c r="AG757" s="44"/>
    </row>
    <row r="758" spans="1:33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5"/>
      <c r="AF758" s="44"/>
      <c r="AG758" s="44"/>
    </row>
    <row r="759" spans="1:33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5"/>
      <c r="AF759" s="44"/>
      <c r="AG759" s="44"/>
    </row>
    <row r="760" spans="1:33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5"/>
      <c r="AF760" s="44"/>
      <c r="AG760" s="44"/>
    </row>
    <row r="761" spans="1:33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5"/>
      <c r="AF761" s="44"/>
      <c r="AG761" s="44"/>
    </row>
    <row r="762" spans="1:33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5"/>
      <c r="AF762" s="44"/>
      <c r="AG762" s="44"/>
    </row>
    <row r="763" spans="1:3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5"/>
      <c r="AF763" s="44"/>
      <c r="AG763" s="44"/>
    </row>
    <row r="764" spans="1:33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5"/>
      <c r="AF764" s="44"/>
      <c r="AG764" s="44"/>
    </row>
    <row r="765" spans="1:33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5"/>
      <c r="AF765" s="44"/>
      <c r="AG765" s="44"/>
    </row>
    <row r="766" spans="1:33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5"/>
      <c r="AF766" s="44"/>
      <c r="AG766" s="44"/>
    </row>
    <row r="767" spans="1:33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5"/>
      <c r="AF767" s="44"/>
      <c r="AG767" s="44"/>
    </row>
    <row r="768" spans="1:33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5"/>
      <c r="AF768" s="44"/>
      <c r="AG768" s="44"/>
    </row>
    <row r="769" spans="1:33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5"/>
      <c r="AF769" s="44"/>
      <c r="AG769" s="44"/>
    </row>
    <row r="770" spans="1:33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5"/>
      <c r="AF770" s="44"/>
      <c r="AG770" s="44"/>
    </row>
    <row r="771" spans="1:33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5"/>
      <c r="AF771" s="44"/>
      <c r="AG771" s="44"/>
    </row>
    <row r="772" spans="1:33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5"/>
      <c r="AF772" s="44"/>
      <c r="AG772" s="44"/>
    </row>
    <row r="773" spans="1:3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5"/>
      <c r="AF773" s="44"/>
      <c r="AG773" s="44"/>
    </row>
    <row r="774" spans="1:33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5"/>
      <c r="AF774" s="44"/>
      <c r="AG774" s="44"/>
    </row>
    <row r="775" spans="1:33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5"/>
      <c r="AF775" s="44"/>
      <c r="AG775" s="44"/>
    </row>
    <row r="776" spans="1:33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5"/>
      <c r="AF776" s="44"/>
      <c r="AG776" s="44"/>
    </row>
    <row r="777" spans="1:33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5"/>
      <c r="AF777" s="44"/>
      <c r="AG777" s="44"/>
    </row>
    <row r="778" spans="1:33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5"/>
      <c r="AF778" s="44"/>
      <c r="AG778" s="44"/>
    </row>
    <row r="779" spans="1:33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5"/>
      <c r="AF779" s="44"/>
      <c r="AG779" s="44"/>
    </row>
    <row r="780" spans="1:33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5"/>
      <c r="AF780" s="44"/>
      <c r="AG780" s="44"/>
    </row>
    <row r="781" spans="1:33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5"/>
      <c r="AF781" s="44"/>
      <c r="AG781" s="44"/>
    </row>
    <row r="782" spans="1:33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5"/>
      <c r="AF782" s="44"/>
      <c r="AG782" s="44"/>
    </row>
    <row r="783" spans="1:3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5"/>
      <c r="AF783" s="44"/>
      <c r="AG783" s="44"/>
    </row>
    <row r="784" spans="1:33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5"/>
      <c r="AF784" s="44"/>
      <c r="AG784" s="44"/>
    </row>
    <row r="785" spans="1:33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5"/>
      <c r="AF785" s="44"/>
      <c r="AG785" s="44"/>
    </row>
    <row r="786" spans="1:33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5"/>
      <c r="AF786" s="44"/>
      <c r="AG786" s="44"/>
    </row>
    <row r="787" spans="1:33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5"/>
      <c r="AF787" s="44"/>
      <c r="AG787" s="44"/>
    </row>
    <row r="788" spans="1:33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5"/>
      <c r="AF788" s="44"/>
      <c r="AG788" s="44"/>
    </row>
    <row r="789" spans="1:33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5"/>
      <c r="AF789" s="44"/>
      <c r="AG789" s="44"/>
    </row>
    <row r="790" spans="1:33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5"/>
      <c r="AF790" s="44"/>
      <c r="AG790" s="44"/>
    </row>
    <row r="791" spans="1:33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5"/>
      <c r="AF791" s="44"/>
      <c r="AG791" s="44"/>
    </row>
    <row r="792" spans="1:33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5"/>
      <c r="AF792" s="44"/>
      <c r="AG792" s="44"/>
    </row>
    <row r="793" spans="1:3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5"/>
      <c r="AF793" s="44"/>
      <c r="AG793" s="44"/>
    </row>
    <row r="794" spans="1:33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5"/>
      <c r="AF794" s="44"/>
      <c r="AG794" s="44"/>
    </row>
    <row r="795" spans="1:33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5"/>
      <c r="AF795" s="44"/>
      <c r="AG795" s="44"/>
    </row>
    <row r="796" spans="1:33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5"/>
      <c r="AF796" s="44"/>
      <c r="AG796" s="44"/>
    </row>
    <row r="797" spans="1:33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5"/>
      <c r="AF797" s="44"/>
      <c r="AG797" s="44"/>
    </row>
    <row r="798" spans="1:33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5"/>
      <c r="AF798" s="44"/>
      <c r="AG798" s="44"/>
    </row>
    <row r="799" spans="1:33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5"/>
      <c r="AF799" s="44"/>
      <c r="AG799" s="44"/>
    </row>
    <row r="800" spans="1:33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5"/>
      <c r="AF800" s="44"/>
      <c r="AG800" s="44"/>
    </row>
    <row r="801" spans="1:33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5"/>
      <c r="AF801" s="44"/>
      <c r="AG801" s="44"/>
    </row>
    <row r="802" spans="1:33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5"/>
      <c r="AF802" s="44"/>
      <c r="AG802" s="44"/>
    </row>
    <row r="803" spans="1:3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5"/>
      <c r="AF803" s="44"/>
      <c r="AG803" s="44"/>
    </row>
    <row r="804" spans="1:33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5"/>
      <c r="AF804" s="44"/>
      <c r="AG804" s="44"/>
    </row>
    <row r="805" spans="1:33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5"/>
      <c r="AF805" s="44"/>
      <c r="AG805" s="44"/>
    </row>
    <row r="806" spans="1:33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5"/>
      <c r="AF806" s="44"/>
      <c r="AG806" s="44"/>
    </row>
    <row r="807" spans="1:33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5"/>
      <c r="AF807" s="44"/>
      <c r="AG807" s="44"/>
    </row>
    <row r="808" spans="1:33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5"/>
      <c r="AF808" s="44"/>
      <c r="AG808" s="44"/>
    </row>
    <row r="809" spans="1:33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5"/>
      <c r="AF809" s="44"/>
      <c r="AG809" s="44"/>
    </row>
    <row r="810" spans="1:33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5"/>
      <c r="AF810" s="44"/>
      <c r="AG810" s="44"/>
    </row>
    <row r="811" spans="1:33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5"/>
      <c r="AF811" s="44"/>
      <c r="AG811" s="44"/>
    </row>
    <row r="812" spans="1:33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5"/>
      <c r="AF812" s="44"/>
      <c r="AG812" s="44"/>
    </row>
    <row r="813" spans="1:3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5"/>
      <c r="AF813" s="44"/>
      <c r="AG813" s="44"/>
    </row>
    <row r="814" spans="1:33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5"/>
      <c r="AF814" s="44"/>
      <c r="AG814" s="44"/>
    </row>
    <row r="815" spans="1:33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5"/>
      <c r="AF815" s="44"/>
      <c r="AG815" s="44"/>
    </row>
    <row r="816" spans="1:33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5"/>
      <c r="AF816" s="44"/>
      <c r="AG816" s="44"/>
    </row>
    <row r="817" spans="1:33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5"/>
      <c r="AF817" s="44"/>
      <c r="AG817" s="44"/>
    </row>
    <row r="818" spans="1:33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5"/>
      <c r="AF818" s="44"/>
      <c r="AG818" s="44"/>
    </row>
    <row r="819" spans="1:33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5"/>
      <c r="AF819" s="44"/>
      <c r="AG819" s="44"/>
    </row>
    <row r="820" spans="1:33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5"/>
      <c r="AF820" s="44"/>
      <c r="AG820" s="44"/>
    </row>
    <row r="821" spans="1:33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5"/>
      <c r="AF821" s="44"/>
      <c r="AG821" s="44"/>
    </row>
    <row r="822" spans="1:33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5"/>
      <c r="AF822" s="44"/>
      <c r="AG822" s="44"/>
    </row>
    <row r="823" spans="1:3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5"/>
      <c r="AF823" s="44"/>
      <c r="AG823" s="44"/>
    </row>
    <row r="824" spans="1:33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5"/>
      <c r="AF824" s="44"/>
      <c r="AG824" s="44"/>
    </row>
    <row r="825" spans="1:33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5"/>
      <c r="AF825" s="44"/>
      <c r="AG825" s="44"/>
    </row>
    <row r="826" spans="1:33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5"/>
      <c r="AF826" s="44"/>
      <c r="AG826" s="44"/>
    </row>
    <row r="827" spans="1:33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5"/>
      <c r="AF827" s="44"/>
      <c r="AG827" s="44"/>
    </row>
    <row r="828" spans="1:33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5"/>
      <c r="AF828" s="44"/>
      <c r="AG828" s="44"/>
    </row>
    <row r="829" spans="1:33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5"/>
      <c r="AF829" s="44"/>
      <c r="AG829" s="44"/>
    </row>
    <row r="830" spans="1:33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5"/>
      <c r="AF830" s="44"/>
      <c r="AG830" s="44"/>
    </row>
    <row r="831" spans="1:33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5"/>
      <c r="AF831" s="44"/>
      <c r="AG831" s="44"/>
    </row>
    <row r="832" spans="1:33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5"/>
      <c r="AF832" s="44"/>
      <c r="AG832" s="44"/>
    </row>
    <row r="833" spans="1: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5"/>
      <c r="AF833" s="44"/>
      <c r="AG833" s="44"/>
    </row>
    <row r="834" spans="1:33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5"/>
      <c r="AF834" s="44"/>
      <c r="AG834" s="44"/>
    </row>
    <row r="835" spans="1:33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5"/>
      <c r="AF835" s="44"/>
      <c r="AG835" s="44"/>
    </row>
    <row r="836" spans="1:33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5"/>
      <c r="AF836" s="44"/>
      <c r="AG836" s="44"/>
    </row>
    <row r="837" spans="1:33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5"/>
      <c r="AF837" s="44"/>
      <c r="AG837" s="44"/>
    </row>
    <row r="838" spans="1:33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5"/>
      <c r="AF838" s="44"/>
      <c r="AG838" s="44"/>
    </row>
    <row r="839" spans="1:33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5"/>
      <c r="AF839" s="44"/>
      <c r="AG839" s="44"/>
    </row>
    <row r="840" spans="1:33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5"/>
      <c r="AF840" s="44"/>
      <c r="AG840" s="44"/>
    </row>
    <row r="841" spans="1:33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5"/>
      <c r="AF841" s="44"/>
      <c r="AG841" s="44"/>
    </row>
    <row r="842" spans="1:33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5"/>
      <c r="AF842" s="44"/>
      <c r="AG842" s="44"/>
    </row>
    <row r="843" spans="1:3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5"/>
      <c r="AF843" s="44"/>
      <c r="AG843" s="44"/>
    </row>
    <row r="844" spans="1:33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5"/>
      <c r="AF844" s="44"/>
      <c r="AG844" s="44"/>
    </row>
    <row r="845" spans="1:33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5"/>
      <c r="AF845" s="44"/>
      <c r="AG845" s="44"/>
    </row>
    <row r="846" spans="1:33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5"/>
      <c r="AF846" s="44"/>
      <c r="AG846" s="44"/>
    </row>
    <row r="847" spans="1:33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5"/>
      <c r="AF847" s="44"/>
      <c r="AG847" s="44"/>
    </row>
    <row r="848" spans="1:33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5"/>
      <c r="AF848" s="44"/>
      <c r="AG848" s="44"/>
    </row>
    <row r="849" spans="1:33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5"/>
      <c r="AF849" s="44"/>
      <c r="AG849" s="44"/>
    </row>
    <row r="850" spans="1:33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5"/>
      <c r="AF850" s="44"/>
      <c r="AG850" s="44"/>
    </row>
    <row r="851" spans="1:33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5"/>
      <c r="AF851" s="44"/>
      <c r="AG851" s="44"/>
    </row>
    <row r="852" spans="1:33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5"/>
      <c r="AF852" s="44"/>
      <c r="AG852" s="44"/>
    </row>
    <row r="853" spans="1:3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5"/>
      <c r="AF853" s="44"/>
      <c r="AG853" s="44"/>
    </row>
    <row r="854" spans="1:33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5"/>
      <c r="AF854" s="44"/>
      <c r="AG854" s="44"/>
    </row>
    <row r="855" spans="1:33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5"/>
      <c r="AF855" s="44"/>
      <c r="AG855" s="44"/>
    </row>
    <row r="856" spans="1:33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5"/>
      <c r="AF856" s="44"/>
      <c r="AG856" s="44"/>
    </row>
    <row r="857" spans="1:33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5"/>
      <c r="AF857" s="44"/>
      <c r="AG857" s="44"/>
    </row>
    <row r="858" spans="1:33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5"/>
      <c r="AF858" s="44"/>
      <c r="AG858" s="44"/>
    </row>
    <row r="859" spans="1:33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5"/>
      <c r="AF859" s="44"/>
      <c r="AG859" s="44"/>
    </row>
    <row r="860" spans="1:33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5"/>
      <c r="AF860" s="44"/>
      <c r="AG860" s="44"/>
    </row>
    <row r="861" spans="1:33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5"/>
      <c r="AF861" s="44"/>
      <c r="AG861" s="44"/>
    </row>
    <row r="862" spans="1:33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5"/>
      <c r="AF862" s="44"/>
      <c r="AG862" s="44"/>
    </row>
    <row r="863" spans="1:3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5"/>
      <c r="AF863" s="44"/>
      <c r="AG863" s="44"/>
    </row>
    <row r="864" spans="1:33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5"/>
      <c r="AF864" s="44"/>
      <c r="AG864" s="44"/>
    </row>
    <row r="865" spans="1:33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5"/>
      <c r="AF865" s="44"/>
      <c r="AG865" s="44"/>
    </row>
    <row r="866" spans="1:33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5"/>
      <c r="AF866" s="44"/>
      <c r="AG866" s="44"/>
    </row>
    <row r="867" spans="1:33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5"/>
      <c r="AF867" s="44"/>
      <c r="AG867" s="44"/>
    </row>
    <row r="868" spans="1:33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5"/>
      <c r="AF868" s="44"/>
      <c r="AG868" s="44"/>
    </row>
    <row r="869" spans="1:33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5"/>
      <c r="AF869" s="44"/>
      <c r="AG869" s="44"/>
    </row>
    <row r="870" spans="1:33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5"/>
      <c r="AF870" s="44"/>
      <c r="AG870" s="44"/>
    </row>
    <row r="871" spans="1:33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5"/>
      <c r="AF871" s="44"/>
      <c r="AG871" s="44"/>
    </row>
    <row r="872" spans="1:33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5"/>
      <c r="AF872" s="44"/>
      <c r="AG872" s="44"/>
    </row>
    <row r="873" spans="1:3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5"/>
      <c r="AF873" s="44"/>
      <c r="AG873" s="44"/>
    </row>
    <row r="874" spans="1:33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5"/>
      <c r="AF874" s="44"/>
      <c r="AG874" s="44"/>
    </row>
    <row r="875" spans="1:33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5"/>
      <c r="AF875" s="44"/>
      <c r="AG875" s="44"/>
    </row>
    <row r="876" spans="1:33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5"/>
      <c r="AF876" s="44"/>
      <c r="AG876" s="44"/>
    </row>
    <row r="877" spans="1:33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5"/>
      <c r="AF877" s="44"/>
      <c r="AG877" s="44"/>
    </row>
    <row r="878" spans="1:33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5"/>
      <c r="AF878" s="44"/>
      <c r="AG878" s="44"/>
    </row>
    <row r="879" spans="1:33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5"/>
      <c r="AF879" s="44"/>
      <c r="AG879" s="44"/>
    </row>
    <row r="880" spans="1:33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5"/>
      <c r="AF880" s="44"/>
      <c r="AG880" s="44"/>
    </row>
    <row r="881" spans="1:33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5"/>
      <c r="AF881" s="44"/>
      <c r="AG881" s="44"/>
    </row>
    <row r="882" spans="1:33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5"/>
      <c r="AF882" s="44"/>
      <c r="AG882" s="44"/>
    </row>
    <row r="883" spans="1:3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5"/>
      <c r="AF883" s="44"/>
      <c r="AG883" s="44"/>
    </row>
    <row r="884" spans="1:33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5"/>
      <c r="AF884" s="44"/>
      <c r="AG884" s="44"/>
    </row>
    <row r="885" spans="1:33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5"/>
      <c r="AF885" s="44"/>
      <c r="AG885" s="44"/>
    </row>
    <row r="886" spans="1:33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5"/>
      <c r="AF886" s="44"/>
      <c r="AG886" s="44"/>
    </row>
    <row r="887" spans="1:33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5"/>
      <c r="AF887" s="44"/>
      <c r="AG887" s="44"/>
    </row>
    <row r="888" spans="1:33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5"/>
      <c r="AF888" s="44"/>
      <c r="AG888" s="44"/>
    </row>
    <row r="889" spans="1:33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5"/>
      <c r="AF889" s="44"/>
      <c r="AG889" s="44"/>
    </row>
    <row r="890" spans="1:33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5"/>
      <c r="AF890" s="44"/>
      <c r="AG890" s="44"/>
    </row>
    <row r="891" spans="1:33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5"/>
      <c r="AF891" s="44"/>
      <c r="AG891" s="44"/>
    </row>
    <row r="892" spans="1:33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5"/>
      <c r="AF892" s="44"/>
      <c r="AG892" s="44"/>
    </row>
    <row r="893" spans="1:3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5"/>
      <c r="AF893" s="44"/>
      <c r="AG893" s="44"/>
    </row>
    <row r="894" spans="1:33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5"/>
      <c r="AF894" s="44"/>
      <c r="AG894" s="44"/>
    </row>
    <row r="895" spans="1:33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5"/>
      <c r="AF895" s="44"/>
      <c r="AG895" s="44"/>
    </row>
    <row r="896" spans="1:33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5"/>
      <c r="AF896" s="44"/>
      <c r="AG896" s="44"/>
    </row>
    <row r="897" spans="1:33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5"/>
      <c r="AF897" s="44"/>
      <c r="AG897" s="44"/>
    </row>
    <row r="898" spans="1:33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5"/>
      <c r="AF898" s="44"/>
      <c r="AG898" s="44"/>
    </row>
    <row r="899" spans="1:33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5"/>
      <c r="AF899" s="44"/>
      <c r="AG899" s="44"/>
    </row>
    <row r="900" spans="1:33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5"/>
      <c r="AF900" s="44"/>
      <c r="AG900" s="44"/>
    </row>
    <row r="901" spans="1:33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5"/>
      <c r="AF901" s="44"/>
      <c r="AG901" s="44"/>
    </row>
    <row r="902" spans="1:33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5"/>
      <c r="AF902" s="44"/>
      <c r="AG902" s="44"/>
    </row>
    <row r="903" spans="1:3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5"/>
      <c r="AF903" s="44"/>
      <c r="AG903" s="44"/>
    </row>
    <row r="904" spans="1:33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5"/>
      <c r="AF904" s="44"/>
      <c r="AG904" s="44"/>
    </row>
    <row r="905" spans="1:33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5"/>
      <c r="AF905" s="44"/>
      <c r="AG905" s="44"/>
    </row>
    <row r="906" spans="1:33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5"/>
      <c r="AF906" s="44"/>
      <c r="AG906" s="44"/>
    </row>
    <row r="907" spans="1:33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5"/>
      <c r="AF907" s="44"/>
      <c r="AG907" s="44"/>
    </row>
    <row r="908" spans="1:33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5"/>
      <c r="AF908" s="44"/>
      <c r="AG908" s="44"/>
    </row>
    <row r="909" spans="1:33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5"/>
      <c r="AF909" s="44"/>
      <c r="AG909" s="44"/>
    </row>
    <row r="910" spans="1:33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5"/>
      <c r="AF910" s="44"/>
      <c r="AG910" s="44"/>
    </row>
    <row r="911" spans="1:33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5"/>
      <c r="AF911" s="44"/>
      <c r="AG911" s="44"/>
    </row>
    <row r="912" spans="1:33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5"/>
      <c r="AF912" s="44"/>
      <c r="AG912" s="44"/>
    </row>
    <row r="913" spans="1:3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5"/>
      <c r="AF913" s="44"/>
      <c r="AG913" s="44"/>
    </row>
    <row r="914" spans="1:33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5"/>
      <c r="AF914" s="44"/>
      <c r="AG914" s="44"/>
    </row>
    <row r="915" spans="1:33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5"/>
      <c r="AF915" s="44"/>
      <c r="AG915" s="44"/>
    </row>
    <row r="916" spans="1:33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5"/>
      <c r="AF916" s="44"/>
      <c r="AG916" s="44"/>
    </row>
    <row r="917" spans="1:33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5"/>
      <c r="AF917" s="44"/>
      <c r="AG917" s="44"/>
    </row>
    <row r="918" spans="1:33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5"/>
      <c r="AF918" s="44"/>
      <c r="AG918" s="44"/>
    </row>
    <row r="919" spans="1:33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5"/>
      <c r="AF919" s="44"/>
      <c r="AG919" s="44"/>
    </row>
    <row r="920" spans="1:33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5"/>
      <c r="AF920" s="44"/>
      <c r="AG920" s="44"/>
    </row>
    <row r="921" spans="1:33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5"/>
      <c r="AF921" s="44"/>
      <c r="AG921" s="44"/>
    </row>
    <row r="922" spans="1:33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5"/>
      <c r="AF922" s="44"/>
      <c r="AG922" s="44"/>
    </row>
    <row r="923" spans="1:3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5"/>
      <c r="AF923" s="44"/>
      <c r="AG923" s="44"/>
    </row>
    <row r="924" spans="1:33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5"/>
      <c r="AF924" s="44"/>
      <c r="AG924" s="44"/>
    </row>
    <row r="925" spans="1:33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5"/>
      <c r="AF925" s="44"/>
      <c r="AG925" s="44"/>
    </row>
    <row r="926" spans="1:33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5"/>
      <c r="AF926" s="44"/>
      <c r="AG926" s="44"/>
    </row>
    <row r="927" spans="1:33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5"/>
      <c r="AF927" s="44"/>
      <c r="AG927" s="44"/>
    </row>
    <row r="928" spans="1:33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5"/>
      <c r="AF928" s="44"/>
      <c r="AG928" s="44"/>
    </row>
    <row r="929" spans="1:33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5"/>
      <c r="AF929" s="44"/>
      <c r="AG929" s="44"/>
    </row>
    <row r="930" spans="1:33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5"/>
      <c r="AF930" s="44"/>
      <c r="AG930" s="44"/>
    </row>
    <row r="931" spans="1:33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5"/>
      <c r="AF931" s="44"/>
      <c r="AG931" s="44"/>
    </row>
    <row r="932" spans="1:33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5"/>
      <c r="AF932" s="44"/>
      <c r="AG932" s="44"/>
    </row>
    <row r="933" spans="1: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5"/>
      <c r="AF933" s="44"/>
      <c r="AG933" s="44"/>
    </row>
    <row r="934" spans="1:33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5"/>
      <c r="AF934" s="44"/>
      <c r="AG934" s="44"/>
    </row>
    <row r="935" spans="1:33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5"/>
      <c r="AF935" s="44"/>
      <c r="AG935" s="44"/>
    </row>
    <row r="936" spans="1:33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5"/>
      <c r="AF936" s="44"/>
      <c r="AG936" s="44"/>
    </row>
    <row r="937" spans="1:33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5"/>
      <c r="AF937" s="44"/>
      <c r="AG937" s="44"/>
    </row>
    <row r="938" spans="1:33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5"/>
      <c r="AF938" s="44"/>
      <c r="AG938" s="44"/>
    </row>
    <row r="939" spans="1:33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5"/>
      <c r="AF939" s="44"/>
      <c r="AG939" s="44"/>
    </row>
    <row r="940" spans="1:33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5"/>
      <c r="AF940" s="44"/>
      <c r="AG940" s="44"/>
    </row>
    <row r="941" spans="1:33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5"/>
      <c r="AF941" s="44"/>
      <c r="AG941" s="44"/>
    </row>
    <row r="942" spans="1:33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5"/>
      <c r="AF942" s="44"/>
      <c r="AG942" s="44"/>
    </row>
    <row r="943" spans="1:3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5"/>
      <c r="AF943" s="44"/>
      <c r="AG943" s="44"/>
    </row>
    <row r="944" spans="1:33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5"/>
      <c r="AF944" s="44"/>
      <c r="AG944" s="44"/>
    </row>
    <row r="945" spans="1:33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5"/>
      <c r="AF945" s="44"/>
      <c r="AG945" s="44"/>
    </row>
    <row r="946" spans="1:33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5"/>
      <c r="AF946" s="44"/>
      <c r="AG946" s="44"/>
    </row>
    <row r="947" spans="1:33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5"/>
      <c r="AF947" s="44"/>
      <c r="AG947" s="44"/>
    </row>
    <row r="948" spans="1:33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5"/>
      <c r="AF948" s="44"/>
      <c r="AG948" s="44"/>
    </row>
    <row r="949" spans="1:33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5"/>
      <c r="AF949" s="44"/>
      <c r="AG949" s="44"/>
    </row>
    <row r="950" spans="1:33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5"/>
      <c r="AF950" s="44"/>
      <c r="AG950" s="44"/>
    </row>
    <row r="951" spans="1:33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5"/>
      <c r="AF951" s="44"/>
      <c r="AG951" s="44"/>
    </row>
    <row r="952" spans="1:33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5"/>
      <c r="AF952" s="44"/>
      <c r="AG952" s="44"/>
    </row>
    <row r="953" spans="1:3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5"/>
      <c r="AF953" s="44"/>
      <c r="AG953" s="44"/>
    </row>
    <row r="954" spans="1:33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5"/>
      <c r="AF954" s="44"/>
      <c r="AG954" s="44"/>
    </row>
    <row r="955" spans="1:33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5"/>
      <c r="AF955" s="44"/>
      <c r="AG955" s="44"/>
    </row>
    <row r="956" spans="1:33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5"/>
      <c r="AF956" s="44"/>
      <c r="AG956" s="44"/>
    </row>
    <row r="957" spans="1:33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5"/>
      <c r="AF957" s="44"/>
      <c r="AG957" s="44"/>
    </row>
    <row r="958" spans="1:33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5"/>
      <c r="AF958" s="44"/>
      <c r="AG958" s="44"/>
    </row>
    <row r="959" spans="1:33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5"/>
      <c r="AF959" s="44"/>
      <c r="AG959" s="44"/>
    </row>
    <row r="960" spans="1:33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5"/>
      <c r="AF960" s="44"/>
      <c r="AG960" s="44"/>
    </row>
    <row r="961" spans="1:33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5"/>
      <c r="AF961" s="44"/>
      <c r="AG961" s="44"/>
    </row>
    <row r="962" spans="1:33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5"/>
      <c r="AF962" s="44"/>
      <c r="AG962" s="44"/>
    </row>
    <row r="963" spans="1:3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5"/>
      <c r="AF963" s="44"/>
      <c r="AG963" s="44"/>
    </row>
    <row r="964" spans="1:33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5"/>
      <c r="AF964" s="44"/>
      <c r="AG964" s="44"/>
    </row>
    <row r="965" spans="1:33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5"/>
      <c r="AF965" s="44"/>
      <c r="AG965" s="44"/>
    </row>
    <row r="966" spans="1:33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5"/>
      <c r="AF966" s="44"/>
      <c r="AG966" s="44"/>
    </row>
    <row r="967" spans="1:33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5"/>
      <c r="AF967" s="44"/>
      <c r="AG967" s="44"/>
    </row>
    <row r="968" spans="1:33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5"/>
      <c r="AF968" s="44"/>
      <c r="AG968" s="44"/>
    </row>
    <row r="969" spans="1:33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5"/>
      <c r="AF969" s="44"/>
      <c r="AG969" s="44"/>
    </row>
    <row r="970" spans="1:33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5"/>
      <c r="AF970" s="44"/>
      <c r="AG970" s="44"/>
    </row>
    <row r="971" spans="1:33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5"/>
      <c r="AF971" s="44"/>
      <c r="AG971" s="44"/>
    </row>
    <row r="972" spans="1:33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5"/>
      <c r="AF972" s="44"/>
      <c r="AG972" s="44"/>
    </row>
    <row r="973" spans="1:3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5"/>
      <c r="AF973" s="44"/>
      <c r="AG973" s="44"/>
    </row>
    <row r="974" spans="1:33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5"/>
      <c r="AF974" s="44"/>
      <c r="AG974" s="44"/>
    </row>
    <row r="975" spans="1:33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5"/>
      <c r="AF975" s="44"/>
      <c r="AG975" s="44"/>
    </row>
    <row r="976" spans="1:33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5"/>
      <c r="AF976" s="44"/>
      <c r="AG976" s="44"/>
    </row>
    <row r="977" spans="1:33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5"/>
      <c r="AF977" s="44"/>
      <c r="AG977" s="44"/>
    </row>
    <row r="978" spans="1:33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5"/>
      <c r="AF978" s="44"/>
      <c r="AG978" s="44"/>
    </row>
    <row r="979" spans="1:33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5"/>
      <c r="AF979" s="44"/>
      <c r="AG979" s="44"/>
    </row>
    <row r="980" spans="1:33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5"/>
      <c r="AF980" s="44"/>
      <c r="AG980" s="44"/>
    </row>
    <row r="981" spans="1:33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5"/>
      <c r="AF981" s="44"/>
      <c r="AG981" s="44"/>
    </row>
    <row r="982" spans="1:33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5"/>
      <c r="AF982" s="44"/>
      <c r="AG982" s="44"/>
    </row>
    <row r="983" spans="1:3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5"/>
      <c r="AF983" s="44"/>
      <c r="AG983" s="44"/>
    </row>
    <row r="984" spans="1:33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5"/>
      <c r="AF984" s="44"/>
      <c r="AG984" s="44"/>
    </row>
    <row r="985" spans="1:33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5"/>
      <c r="AF985" s="44"/>
      <c r="AG985" s="44"/>
    </row>
    <row r="986" spans="1:33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5"/>
      <c r="AF986" s="44"/>
      <c r="AG986" s="44"/>
    </row>
    <row r="987" spans="1:33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5"/>
      <c r="AF987" s="44"/>
      <c r="AG987" s="44"/>
    </row>
    <row r="988" spans="1:33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5"/>
      <c r="AF988" s="44"/>
      <c r="AG988" s="44"/>
    </row>
    <row r="989" spans="1:33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5"/>
      <c r="AF989" s="44"/>
      <c r="AG989" s="44"/>
    </row>
    <row r="990" spans="1:33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5"/>
      <c r="AF990" s="44"/>
      <c r="AG990" s="44"/>
    </row>
    <row r="991" spans="1:33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5"/>
      <c r="AF991" s="44"/>
      <c r="AG991" s="44"/>
    </row>
    <row r="992" spans="1:33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5"/>
      <c r="AF992" s="44"/>
      <c r="AG992" s="44"/>
    </row>
    <row r="993" spans="1:3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5"/>
      <c r="AF993" s="44"/>
      <c r="AG993" s="44"/>
    </row>
    <row r="994" spans="1:33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5"/>
      <c r="AF994" s="44"/>
      <c r="AG994" s="44"/>
    </row>
    <row r="995" spans="1:33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5"/>
      <c r="AF995" s="44"/>
      <c r="AG995" s="44"/>
    </row>
    <row r="996" spans="1:33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5"/>
      <c r="AF996" s="44"/>
      <c r="AG996" s="44"/>
    </row>
    <row r="997" spans="1:33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5"/>
      <c r="AF997" s="44"/>
      <c r="AG997" s="44"/>
    </row>
  </sheetData>
  <sheetProtection algorithmName="SHA-512" hashValue="R9CTXt5BSRX+HfmdppKz0XriASv6SKO20ocgKMDYiFAKN7TdUTVVW+saRGS40g+ZfGSqkXDroBhm+SFLX0si8A==" saltValue="kFvInk5emzRjRNVZ5LcryQ==" spinCount="100000" sheet="1"/>
  <mergeCells count="47">
    <mergeCell ref="AG1:AG9"/>
    <mergeCell ref="D2:R2"/>
    <mergeCell ref="T2:X2"/>
    <mergeCell ref="Z2:AD2"/>
    <mergeCell ref="S8:S9"/>
    <mergeCell ref="C1:R1"/>
    <mergeCell ref="S1:X1"/>
    <mergeCell ref="Y1:AD1"/>
    <mergeCell ref="AE1:AE9"/>
    <mergeCell ref="AF1:AF9"/>
    <mergeCell ref="Y8:Y9"/>
    <mergeCell ref="AA8:AA9"/>
    <mergeCell ref="AB8:AB9"/>
    <mergeCell ref="AC8:AC9"/>
    <mergeCell ref="AD8:AD9"/>
    <mergeCell ref="A3:B3"/>
    <mergeCell ref="D3:R3"/>
    <mergeCell ref="T3:X3"/>
    <mergeCell ref="Z3:AD3"/>
    <mergeCell ref="A4:B4"/>
    <mergeCell ref="D4:R4"/>
    <mergeCell ref="T4:X4"/>
    <mergeCell ref="Z4:AD4"/>
    <mergeCell ref="A5:B5"/>
    <mergeCell ref="D5:R5"/>
    <mergeCell ref="T5:X5"/>
    <mergeCell ref="Z5:AD5"/>
    <mergeCell ref="A6:B6"/>
    <mergeCell ref="D6:R6"/>
    <mergeCell ref="T6:X6"/>
    <mergeCell ref="Z6:AD6"/>
    <mergeCell ref="A7:B8"/>
    <mergeCell ref="D7:R7"/>
    <mergeCell ref="T7:X7"/>
    <mergeCell ref="Z7:AD7"/>
    <mergeCell ref="C8:D8"/>
    <mergeCell ref="E8:F8"/>
    <mergeCell ref="G8:H8"/>
    <mergeCell ref="I8:J8"/>
    <mergeCell ref="K8:L8"/>
    <mergeCell ref="R8:R9"/>
    <mergeCell ref="T8:T9"/>
    <mergeCell ref="U8:U9"/>
    <mergeCell ref="V8:V9"/>
    <mergeCell ref="W8:W9"/>
    <mergeCell ref="X8:X9"/>
    <mergeCell ref="Z8:Z9"/>
  </mergeCells>
  <conditionalFormatting sqref="R10:R49">
    <cfRule type="containsErrors" dxfId="34" priority="8">
      <formula>ISERROR(R10)</formula>
    </cfRule>
  </conditionalFormatting>
  <conditionalFormatting sqref="X8:X49">
    <cfRule type="containsErrors" dxfId="33" priority="7">
      <formula>ISERROR(X8)</formula>
    </cfRule>
  </conditionalFormatting>
  <conditionalFormatting sqref="AD8:AD49">
    <cfRule type="containsErrors" dxfId="32" priority="6">
      <formula>ISERROR(AD8)</formula>
    </cfRule>
  </conditionalFormatting>
  <conditionalFormatting sqref="AE1:AE49">
    <cfRule type="cellIs" dxfId="31" priority="4" operator="lessThan">
      <formula>3</formula>
    </cfRule>
    <cfRule type="containsErrors" dxfId="30" priority="5">
      <formula>ISERROR(AE1)</formula>
    </cfRule>
  </conditionalFormatting>
  <conditionalFormatting sqref="A10:A49">
    <cfRule type="expression" dxfId="29" priority="3">
      <formula>AG10&lt;3</formula>
    </cfRule>
  </conditionalFormatting>
  <conditionalFormatting sqref="AG10:AG49">
    <cfRule type="containsErrors" dxfId="28" priority="1">
      <formula>ISERROR(AG10)</formula>
    </cfRule>
    <cfRule type="cellIs" dxfId="27" priority="2" operator="lessThan">
      <formula>3</formula>
    </cfRule>
  </conditionalFormatting>
  <dataValidations count="5">
    <dataValidation allowBlank="1" showInputMessage="1" showErrorMessage="1" prompt="IR A INICIO" sqref="A7:B8"/>
    <dataValidation type="decimal" allowBlank="1" showInputMessage="1" showErrorMessage="1" errorTitle="VALOR INCORRECTO" error="Recuerde que la calificacion debe estar entre 1 y 5" sqref="C10:L49 S10:V49 Y10:AC49 AF10:AF49">
      <formula1>1</formula1>
      <formula2>5</formula2>
    </dataValidation>
    <dataValidation allowBlank="1" showInputMessage="1" showErrorMessage="1" promptTitle="N.P." prompt="NOTA PARCIAL" sqref="R8:R9 X8:X9"/>
    <dataValidation allowBlank="1" showInputMessage="1" showErrorMessage="1" promptTitle="DESCRIPCIÓN DE ACTIVIADES" prompt="Para cada nota o calificación, describa la actividad realizada;Taller, evaluación, exposición, mesa redonda etc. por ejemplo: Taller grupal, suma y resta de números enteros." sqref="T3:AH3 D3:R3"/>
    <dataValidation type="decimal" allowBlank="1" showInputMessage="1" showErrorMessage="1" errorTitle="VALOR INCORRECTO" error="Recuerde que la calificacion debe estar entre 1 y 5" prompt="Entrada incorrecta" sqref="W10:W49">
      <formula1>1</formula1>
      <formula2>5</formula2>
    </dataValidation>
  </dataValidations>
  <hyperlinks>
    <hyperlink ref="A7:B8" location="INICIO!A1" tooltip="IR A MENU DE INICIO" display="Periodo 01"/>
  </hyperlinks>
  <pageMargins left="0.27559055118110237" right="0.23622047244094491" top="0.57999999999999996" bottom="0.55000000000000004" header="0" footer="0"/>
  <pageSetup paperSize="120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97"/>
  <sheetViews>
    <sheetView showGridLines="0" zoomScaleNormal="100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F15" sqref="F15"/>
    </sheetView>
  </sheetViews>
  <sheetFormatPr baseColWidth="10" defaultColWidth="14.42578125" defaultRowHeight="15" customHeight="1"/>
  <cols>
    <col min="1" max="1" width="6.7109375" customWidth="1"/>
    <col min="2" max="2" width="47.5703125" customWidth="1"/>
    <col min="3" max="3" width="6.7109375" customWidth="1"/>
    <col min="4" max="11" width="5.7109375" customWidth="1"/>
    <col min="12" max="12" width="6.140625" customWidth="1"/>
    <col min="13" max="16" width="5.7109375" hidden="1" customWidth="1"/>
    <col min="17" max="17" width="0.140625" customWidth="1"/>
    <col min="18" max="18" width="5.7109375" customWidth="1"/>
    <col min="19" max="19" width="7.42578125" customWidth="1"/>
    <col min="20" max="24" width="9.85546875" customWidth="1"/>
    <col min="25" max="25" width="9" customWidth="1"/>
    <col min="26" max="30" width="10" customWidth="1"/>
    <col min="31" max="31" width="6.7109375" customWidth="1"/>
    <col min="32" max="33" width="6.7109375" style="45" customWidth="1"/>
  </cols>
  <sheetData>
    <row r="1" spans="1:33" ht="22.5" customHeight="1" thickBot="1">
      <c r="A1" s="20"/>
      <c r="B1" s="23"/>
      <c r="C1" s="174" t="s">
        <v>5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6"/>
      <c r="S1" s="177" t="s">
        <v>7</v>
      </c>
      <c r="T1" s="175"/>
      <c r="U1" s="175"/>
      <c r="V1" s="175"/>
      <c r="W1" s="175"/>
      <c r="X1" s="176"/>
      <c r="Y1" s="178" t="s">
        <v>6</v>
      </c>
      <c r="Z1" s="179"/>
      <c r="AA1" s="179"/>
      <c r="AB1" s="179"/>
      <c r="AC1" s="179"/>
      <c r="AD1" s="180"/>
      <c r="AE1" s="181" t="s">
        <v>49</v>
      </c>
      <c r="AF1" s="186" t="s">
        <v>8</v>
      </c>
      <c r="AG1" s="159" t="s">
        <v>50</v>
      </c>
    </row>
    <row r="2" spans="1:33" ht="18" customHeight="1" thickBot="1">
      <c r="A2" s="24"/>
      <c r="B2" s="27"/>
      <c r="C2" s="25" t="s">
        <v>44</v>
      </c>
      <c r="D2" s="163" t="s">
        <v>45</v>
      </c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5"/>
      <c r="S2" s="26" t="s">
        <v>44</v>
      </c>
      <c r="T2" s="166" t="s">
        <v>45</v>
      </c>
      <c r="U2" s="167"/>
      <c r="V2" s="167"/>
      <c r="W2" s="167"/>
      <c r="X2" s="168"/>
      <c r="Y2" s="33" t="s">
        <v>44</v>
      </c>
      <c r="Z2" s="169" t="s">
        <v>45</v>
      </c>
      <c r="AA2" s="170"/>
      <c r="AB2" s="170"/>
      <c r="AC2" s="170"/>
      <c r="AD2" s="171"/>
      <c r="AE2" s="182"/>
      <c r="AF2" s="187"/>
      <c r="AG2" s="160"/>
    </row>
    <row r="3" spans="1:33" ht="17.25" customHeight="1">
      <c r="A3" s="139" t="str">
        <f>CONCATENATE(INICIO!B7," ",INICIO!C7)</f>
        <v xml:space="preserve">SEDE: </v>
      </c>
      <c r="B3" s="140"/>
      <c r="C3" s="16" t="s">
        <v>39</v>
      </c>
      <c r="D3" s="151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3"/>
      <c r="S3" s="13" t="s">
        <v>39</v>
      </c>
      <c r="T3" s="154"/>
      <c r="U3" s="155"/>
      <c r="V3" s="155"/>
      <c r="W3" s="155"/>
      <c r="X3" s="156"/>
      <c r="Y3" s="34" t="s">
        <v>39</v>
      </c>
      <c r="Z3" s="193"/>
      <c r="AA3" s="157"/>
      <c r="AB3" s="157"/>
      <c r="AC3" s="157"/>
      <c r="AD3" s="158"/>
      <c r="AE3" s="183"/>
      <c r="AF3" s="188"/>
      <c r="AG3" s="161"/>
    </row>
    <row r="4" spans="1:33" ht="17.25" customHeight="1">
      <c r="A4" s="139" t="str">
        <f>CONCATENATE(INICIO!D7," ",INICIO!E7)</f>
        <v xml:space="preserve">DOCENTE: </v>
      </c>
      <c r="B4" s="140"/>
      <c r="C4" s="17" t="s">
        <v>10</v>
      </c>
      <c r="D4" s="141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3"/>
      <c r="S4" s="14" t="s">
        <v>40</v>
      </c>
      <c r="T4" s="144"/>
      <c r="U4" s="145"/>
      <c r="V4" s="145"/>
      <c r="W4" s="145"/>
      <c r="X4" s="146"/>
      <c r="Y4" s="35" t="s">
        <v>40</v>
      </c>
      <c r="Z4" s="147"/>
      <c r="AA4" s="147"/>
      <c r="AB4" s="147"/>
      <c r="AC4" s="147"/>
      <c r="AD4" s="148"/>
      <c r="AE4" s="183"/>
      <c r="AF4" s="188"/>
      <c r="AG4" s="161"/>
    </row>
    <row r="5" spans="1:33" ht="17.25" customHeight="1">
      <c r="A5" s="139" t="str">
        <f>CONCATENATE(INICIO!B8," ",INICIO!C8)</f>
        <v xml:space="preserve">ASIGNATURA: </v>
      </c>
      <c r="B5" s="140"/>
      <c r="C5" s="17" t="s">
        <v>14</v>
      </c>
      <c r="D5" s="141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3"/>
      <c r="S5" s="14" t="s">
        <v>41</v>
      </c>
      <c r="T5" s="144"/>
      <c r="U5" s="145"/>
      <c r="V5" s="145"/>
      <c r="W5" s="145"/>
      <c r="X5" s="146"/>
      <c r="Y5" s="35" t="s">
        <v>41</v>
      </c>
      <c r="Z5" s="147"/>
      <c r="AA5" s="147"/>
      <c r="AB5" s="147"/>
      <c r="AC5" s="147"/>
      <c r="AD5" s="148"/>
      <c r="AE5" s="183"/>
      <c r="AF5" s="188"/>
      <c r="AG5" s="161"/>
    </row>
    <row r="6" spans="1:33" ht="17.25" customHeight="1" thickBot="1">
      <c r="A6" s="149" t="str">
        <f>CONCATENATE(INICIO!D8,INICIO!E8,"  ",INICIO!F8,INICIO!G8)</f>
        <v>GRADO:  GRUPO:</v>
      </c>
      <c r="B6" s="150"/>
      <c r="C6" s="17" t="s">
        <v>12</v>
      </c>
      <c r="D6" s="141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3"/>
      <c r="S6" s="14" t="s">
        <v>42</v>
      </c>
      <c r="T6" s="144"/>
      <c r="U6" s="145"/>
      <c r="V6" s="145"/>
      <c r="W6" s="145"/>
      <c r="X6" s="146"/>
      <c r="Y6" s="35" t="s">
        <v>42</v>
      </c>
      <c r="Z6" s="147"/>
      <c r="AA6" s="147"/>
      <c r="AB6" s="147"/>
      <c r="AC6" s="147"/>
      <c r="AD6" s="148"/>
      <c r="AE6" s="183"/>
      <c r="AF6" s="188"/>
      <c r="AG6" s="161"/>
    </row>
    <row r="7" spans="1:33" ht="17.25" customHeight="1" thickBot="1">
      <c r="A7" s="115" t="s">
        <v>51</v>
      </c>
      <c r="B7" s="116"/>
      <c r="C7" s="18" t="s">
        <v>13</v>
      </c>
      <c r="D7" s="119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1"/>
      <c r="S7" s="15" t="s">
        <v>43</v>
      </c>
      <c r="T7" s="122"/>
      <c r="U7" s="123"/>
      <c r="V7" s="123"/>
      <c r="W7" s="123"/>
      <c r="X7" s="124"/>
      <c r="Y7" s="36" t="s">
        <v>43</v>
      </c>
      <c r="Z7" s="125"/>
      <c r="AA7" s="125"/>
      <c r="AB7" s="125"/>
      <c r="AC7" s="125"/>
      <c r="AD7" s="126"/>
      <c r="AE7" s="183"/>
      <c r="AF7" s="188"/>
      <c r="AG7" s="161"/>
    </row>
    <row r="8" spans="1:33" ht="17.25" customHeight="1" thickBot="1">
      <c r="A8" s="117"/>
      <c r="B8" s="118"/>
      <c r="C8" s="127" t="s">
        <v>9</v>
      </c>
      <c r="D8" s="128"/>
      <c r="E8" s="129" t="s">
        <v>10</v>
      </c>
      <c r="F8" s="128"/>
      <c r="G8" s="130" t="s">
        <v>11</v>
      </c>
      <c r="H8" s="128"/>
      <c r="I8" s="129" t="s">
        <v>12</v>
      </c>
      <c r="J8" s="128"/>
      <c r="K8" s="130" t="s">
        <v>13</v>
      </c>
      <c r="L8" s="128"/>
      <c r="M8" s="12"/>
      <c r="N8" s="12"/>
      <c r="O8" s="12"/>
      <c r="P8" s="12"/>
      <c r="Q8" s="12"/>
      <c r="R8" s="131" t="s">
        <v>38</v>
      </c>
      <c r="S8" s="172" t="s">
        <v>9</v>
      </c>
      <c r="T8" s="133" t="s">
        <v>10</v>
      </c>
      <c r="U8" s="135" t="s">
        <v>14</v>
      </c>
      <c r="V8" s="133" t="s">
        <v>12</v>
      </c>
      <c r="W8" s="135" t="s">
        <v>15</v>
      </c>
      <c r="X8" s="136" t="s">
        <v>38</v>
      </c>
      <c r="Y8" s="190" t="s">
        <v>9</v>
      </c>
      <c r="Z8" s="138" t="s">
        <v>10</v>
      </c>
      <c r="AA8" s="190" t="s">
        <v>14</v>
      </c>
      <c r="AB8" s="138" t="s">
        <v>12</v>
      </c>
      <c r="AC8" s="190" t="s">
        <v>15</v>
      </c>
      <c r="AD8" s="191" t="s">
        <v>38</v>
      </c>
      <c r="AE8" s="184"/>
      <c r="AF8" s="188"/>
      <c r="AG8" s="161"/>
    </row>
    <row r="9" spans="1:33" ht="13.5" customHeight="1" thickBot="1">
      <c r="A9" s="30" t="s">
        <v>3</v>
      </c>
      <c r="B9" s="31" t="s">
        <v>4</v>
      </c>
      <c r="C9" s="19" t="s">
        <v>16</v>
      </c>
      <c r="D9" s="9" t="s">
        <v>17</v>
      </c>
      <c r="E9" s="10" t="s">
        <v>16</v>
      </c>
      <c r="F9" s="10" t="s">
        <v>17</v>
      </c>
      <c r="G9" s="9" t="s">
        <v>16</v>
      </c>
      <c r="H9" s="9" t="s">
        <v>17</v>
      </c>
      <c r="I9" s="10" t="s">
        <v>16</v>
      </c>
      <c r="J9" s="10" t="s">
        <v>17</v>
      </c>
      <c r="K9" s="9" t="s">
        <v>16</v>
      </c>
      <c r="L9" s="9" t="s">
        <v>17</v>
      </c>
      <c r="M9" s="11" t="s">
        <v>18</v>
      </c>
      <c r="N9" s="11" t="s">
        <v>19</v>
      </c>
      <c r="O9" s="11" t="s">
        <v>20</v>
      </c>
      <c r="P9" s="11" t="s">
        <v>21</v>
      </c>
      <c r="Q9" s="11" t="s">
        <v>22</v>
      </c>
      <c r="R9" s="132"/>
      <c r="S9" s="173"/>
      <c r="T9" s="134"/>
      <c r="U9" s="134"/>
      <c r="V9" s="134"/>
      <c r="W9" s="134"/>
      <c r="X9" s="137"/>
      <c r="Y9" s="134"/>
      <c r="Z9" s="134"/>
      <c r="AA9" s="134"/>
      <c r="AB9" s="134"/>
      <c r="AC9" s="134"/>
      <c r="AD9" s="192"/>
      <c r="AE9" s="185"/>
      <c r="AF9" s="189"/>
      <c r="AG9" s="162"/>
    </row>
    <row r="10" spans="1:33" ht="15.75">
      <c r="A10" s="21">
        <v>1</v>
      </c>
      <c r="B10" s="66">
        <f>+'PERIODO 01'!B10</f>
        <v>0</v>
      </c>
      <c r="C10" s="47"/>
      <c r="D10" s="48"/>
      <c r="E10" s="49"/>
      <c r="F10" s="49"/>
      <c r="G10" s="48"/>
      <c r="H10" s="48"/>
      <c r="I10" s="49"/>
      <c r="J10" s="49"/>
      <c r="K10" s="48"/>
      <c r="L10" s="48"/>
      <c r="M10" s="8" t="str">
        <f t="shared" ref="M10:M49" si="0">IF(ISBLANK(C10),"",IF(C10&gt;D10,C10,D10))</f>
        <v/>
      </c>
      <c r="N10" s="8" t="str">
        <f t="shared" ref="N10:N49" si="1">IF(ISBLANK(E10)," ",IF(E10&gt;F10,E10,F10))</f>
        <v xml:space="preserve"> </v>
      </c>
      <c r="O10" s="8" t="str">
        <f t="shared" ref="O10:O49" si="2">IF(ISBLANK(G10),"",IF(G10&gt;H10,G10,H10))</f>
        <v/>
      </c>
      <c r="P10" s="8" t="str">
        <f t="shared" ref="P10:P49" si="3">IF(ISBLANK(I10),"",IF(I10&gt;J10,I10,J10))</f>
        <v/>
      </c>
      <c r="Q10" s="8" t="str">
        <f t="shared" ref="Q10:Q49" si="4">IF(ISBLANK(K10),"",IF(K10&gt;L10,K10,L10))</f>
        <v/>
      </c>
      <c r="R10" s="37" t="e">
        <f t="shared" ref="R10:R49" si="5">AVERAGE(M10:Q10)</f>
        <v>#DIV/0!</v>
      </c>
      <c r="S10" s="54"/>
      <c r="T10" s="55"/>
      <c r="U10" s="54"/>
      <c r="V10" s="55"/>
      <c r="W10" s="54"/>
      <c r="X10" s="39" t="e">
        <f t="shared" ref="X10:X49" si="6">AVERAGE(S10:W10)</f>
        <v>#DIV/0!</v>
      </c>
      <c r="Y10" s="58"/>
      <c r="Z10" s="59"/>
      <c r="AA10" s="58"/>
      <c r="AB10" s="59"/>
      <c r="AC10" s="58"/>
      <c r="AD10" s="41" t="e">
        <f t="shared" ref="AD10:AD49" si="7">AVERAGE(Y10:AC10)</f>
        <v>#DIV/0!</v>
      </c>
      <c r="AE10" s="43" t="e">
        <f>R10*0.5+X10*0.3+AD10*0.2</f>
        <v>#DIV/0!</v>
      </c>
      <c r="AF10" s="62"/>
      <c r="AG10" s="64" t="e">
        <f t="shared" ref="AG10:AG49" si="8">IF(AE10&gt;AF10,AE10,AF10)</f>
        <v>#DIV/0!</v>
      </c>
    </row>
    <row r="11" spans="1:33" ht="15.75">
      <c r="A11" s="21">
        <v>2</v>
      </c>
      <c r="B11" s="66">
        <f>+'PERIODO 01'!B11</f>
        <v>0</v>
      </c>
      <c r="C11" s="51"/>
      <c r="D11" s="52"/>
      <c r="E11" s="53"/>
      <c r="F11" s="53"/>
      <c r="G11" s="52"/>
      <c r="H11" s="52"/>
      <c r="I11" s="53"/>
      <c r="J11" s="53"/>
      <c r="K11" s="52"/>
      <c r="L11" s="52"/>
      <c r="M11" s="3" t="str">
        <f t="shared" si="0"/>
        <v/>
      </c>
      <c r="N11" s="3" t="str">
        <f t="shared" si="1"/>
        <v xml:space="preserve"> </v>
      </c>
      <c r="O11" s="3" t="str">
        <f t="shared" si="2"/>
        <v/>
      </c>
      <c r="P11" s="3" t="str">
        <f t="shared" si="3"/>
        <v/>
      </c>
      <c r="Q11" s="3" t="str">
        <f t="shared" si="4"/>
        <v/>
      </c>
      <c r="R11" s="38" t="e">
        <f t="shared" si="5"/>
        <v>#DIV/0!</v>
      </c>
      <c r="S11" s="56"/>
      <c r="T11" s="57"/>
      <c r="U11" s="56"/>
      <c r="V11" s="57"/>
      <c r="W11" s="56"/>
      <c r="X11" s="40" t="e">
        <f t="shared" si="6"/>
        <v>#DIV/0!</v>
      </c>
      <c r="Y11" s="60"/>
      <c r="Z11" s="61"/>
      <c r="AA11" s="60"/>
      <c r="AB11" s="61"/>
      <c r="AC11" s="60"/>
      <c r="AD11" s="42" t="e">
        <f t="shared" si="7"/>
        <v>#DIV/0!</v>
      </c>
      <c r="AE11" s="43" t="e">
        <f t="shared" ref="AE11:AE49" si="9">R11*0.5+X11*0.3+AD11*0.2</f>
        <v>#DIV/0!</v>
      </c>
      <c r="AF11" s="63"/>
      <c r="AG11" s="65" t="e">
        <f t="shared" si="8"/>
        <v>#DIV/0!</v>
      </c>
    </row>
    <row r="12" spans="1:33" ht="15.75">
      <c r="A12" s="21">
        <v>3</v>
      </c>
      <c r="B12" s="66">
        <f>+'PERIODO 01'!B12</f>
        <v>0</v>
      </c>
      <c r="C12" s="51"/>
      <c r="D12" s="52"/>
      <c r="E12" s="53"/>
      <c r="F12" s="53"/>
      <c r="G12" s="52"/>
      <c r="H12" s="52"/>
      <c r="I12" s="53"/>
      <c r="J12" s="53"/>
      <c r="K12" s="52"/>
      <c r="L12" s="52"/>
      <c r="M12" s="3" t="str">
        <f t="shared" si="0"/>
        <v/>
      </c>
      <c r="N12" s="3" t="str">
        <f t="shared" si="1"/>
        <v xml:space="preserve"> </v>
      </c>
      <c r="O12" s="3" t="str">
        <f t="shared" si="2"/>
        <v/>
      </c>
      <c r="P12" s="3" t="str">
        <f t="shared" si="3"/>
        <v/>
      </c>
      <c r="Q12" s="3" t="str">
        <f t="shared" si="4"/>
        <v/>
      </c>
      <c r="R12" s="38" t="e">
        <f t="shared" si="5"/>
        <v>#DIV/0!</v>
      </c>
      <c r="S12" s="56"/>
      <c r="T12" s="57"/>
      <c r="U12" s="56"/>
      <c r="V12" s="57"/>
      <c r="W12" s="56"/>
      <c r="X12" s="40" t="e">
        <f t="shared" si="6"/>
        <v>#DIV/0!</v>
      </c>
      <c r="Y12" s="60"/>
      <c r="Z12" s="61"/>
      <c r="AA12" s="60"/>
      <c r="AB12" s="61"/>
      <c r="AC12" s="60"/>
      <c r="AD12" s="42" t="e">
        <f t="shared" si="7"/>
        <v>#DIV/0!</v>
      </c>
      <c r="AE12" s="43" t="e">
        <f t="shared" si="9"/>
        <v>#DIV/0!</v>
      </c>
      <c r="AF12" s="63"/>
      <c r="AG12" s="65" t="e">
        <f t="shared" si="8"/>
        <v>#DIV/0!</v>
      </c>
    </row>
    <row r="13" spans="1:33" ht="15.75">
      <c r="A13" s="21">
        <v>4</v>
      </c>
      <c r="B13" s="66">
        <f>+'PERIODO 01'!B13</f>
        <v>0</v>
      </c>
      <c r="C13" s="51"/>
      <c r="D13" s="52"/>
      <c r="E13" s="53"/>
      <c r="F13" s="53"/>
      <c r="G13" s="52"/>
      <c r="H13" s="52"/>
      <c r="I13" s="53"/>
      <c r="J13" s="53"/>
      <c r="K13" s="52"/>
      <c r="L13" s="52"/>
      <c r="M13" s="3" t="str">
        <f t="shared" si="0"/>
        <v/>
      </c>
      <c r="N13" s="3" t="str">
        <f t="shared" si="1"/>
        <v xml:space="preserve"> </v>
      </c>
      <c r="O13" s="3" t="str">
        <f t="shared" si="2"/>
        <v/>
      </c>
      <c r="P13" s="3" t="str">
        <f t="shared" si="3"/>
        <v/>
      </c>
      <c r="Q13" s="3" t="str">
        <f t="shared" si="4"/>
        <v/>
      </c>
      <c r="R13" s="38" t="e">
        <f t="shared" si="5"/>
        <v>#DIV/0!</v>
      </c>
      <c r="S13" s="56"/>
      <c r="T13" s="57"/>
      <c r="U13" s="56"/>
      <c r="V13" s="57"/>
      <c r="W13" s="56"/>
      <c r="X13" s="40" t="e">
        <f t="shared" si="6"/>
        <v>#DIV/0!</v>
      </c>
      <c r="Y13" s="60"/>
      <c r="Z13" s="61"/>
      <c r="AA13" s="60"/>
      <c r="AB13" s="61"/>
      <c r="AC13" s="60"/>
      <c r="AD13" s="42" t="e">
        <f t="shared" si="7"/>
        <v>#DIV/0!</v>
      </c>
      <c r="AE13" s="43" t="e">
        <f t="shared" si="9"/>
        <v>#DIV/0!</v>
      </c>
      <c r="AF13" s="63"/>
      <c r="AG13" s="65" t="e">
        <f t="shared" si="8"/>
        <v>#DIV/0!</v>
      </c>
    </row>
    <row r="14" spans="1:33" ht="15.75">
      <c r="A14" s="21">
        <v>5</v>
      </c>
      <c r="B14" s="66">
        <f>+'PERIODO 01'!B14</f>
        <v>0</v>
      </c>
      <c r="C14" s="51"/>
      <c r="D14" s="52"/>
      <c r="E14" s="53"/>
      <c r="F14" s="53"/>
      <c r="G14" s="52"/>
      <c r="H14" s="52"/>
      <c r="I14" s="53"/>
      <c r="J14" s="53"/>
      <c r="K14" s="52"/>
      <c r="L14" s="52"/>
      <c r="M14" s="3" t="str">
        <f t="shared" si="0"/>
        <v/>
      </c>
      <c r="N14" s="3" t="str">
        <f t="shared" si="1"/>
        <v xml:space="preserve"> </v>
      </c>
      <c r="O14" s="3" t="str">
        <f t="shared" si="2"/>
        <v/>
      </c>
      <c r="P14" s="3" t="str">
        <f t="shared" si="3"/>
        <v/>
      </c>
      <c r="Q14" s="3" t="str">
        <f t="shared" si="4"/>
        <v/>
      </c>
      <c r="R14" s="38" t="e">
        <f t="shared" si="5"/>
        <v>#DIV/0!</v>
      </c>
      <c r="S14" s="56"/>
      <c r="T14" s="57"/>
      <c r="U14" s="56"/>
      <c r="V14" s="57"/>
      <c r="W14" s="56"/>
      <c r="X14" s="40" t="e">
        <f t="shared" si="6"/>
        <v>#DIV/0!</v>
      </c>
      <c r="Y14" s="60"/>
      <c r="Z14" s="61"/>
      <c r="AA14" s="60"/>
      <c r="AB14" s="61"/>
      <c r="AC14" s="60"/>
      <c r="AD14" s="42" t="e">
        <f t="shared" si="7"/>
        <v>#DIV/0!</v>
      </c>
      <c r="AE14" s="43" t="e">
        <f t="shared" si="9"/>
        <v>#DIV/0!</v>
      </c>
      <c r="AF14" s="63"/>
      <c r="AG14" s="65" t="e">
        <f t="shared" si="8"/>
        <v>#DIV/0!</v>
      </c>
    </row>
    <row r="15" spans="1:33" ht="15.75">
      <c r="A15" s="21">
        <v>6</v>
      </c>
      <c r="B15" s="66">
        <f>+'PERIODO 01'!B15</f>
        <v>0</v>
      </c>
      <c r="C15" s="51"/>
      <c r="D15" s="52"/>
      <c r="E15" s="53"/>
      <c r="F15" s="53"/>
      <c r="G15" s="52"/>
      <c r="H15" s="52"/>
      <c r="I15" s="53"/>
      <c r="J15" s="53"/>
      <c r="K15" s="52"/>
      <c r="L15" s="52"/>
      <c r="M15" s="3" t="str">
        <f t="shared" si="0"/>
        <v/>
      </c>
      <c r="N15" s="3" t="str">
        <f t="shared" si="1"/>
        <v xml:space="preserve"> </v>
      </c>
      <c r="O15" s="3" t="str">
        <f t="shared" si="2"/>
        <v/>
      </c>
      <c r="P15" s="3" t="str">
        <f t="shared" si="3"/>
        <v/>
      </c>
      <c r="Q15" s="3" t="str">
        <f t="shared" si="4"/>
        <v/>
      </c>
      <c r="R15" s="38" t="e">
        <f t="shared" si="5"/>
        <v>#DIV/0!</v>
      </c>
      <c r="S15" s="56"/>
      <c r="T15" s="57"/>
      <c r="U15" s="56"/>
      <c r="V15" s="57"/>
      <c r="W15" s="56"/>
      <c r="X15" s="40" t="e">
        <f t="shared" si="6"/>
        <v>#DIV/0!</v>
      </c>
      <c r="Y15" s="60"/>
      <c r="Z15" s="61"/>
      <c r="AA15" s="60"/>
      <c r="AB15" s="61"/>
      <c r="AC15" s="60"/>
      <c r="AD15" s="42" t="e">
        <f t="shared" si="7"/>
        <v>#DIV/0!</v>
      </c>
      <c r="AE15" s="43" t="e">
        <f t="shared" si="9"/>
        <v>#DIV/0!</v>
      </c>
      <c r="AF15" s="63"/>
      <c r="AG15" s="65" t="e">
        <f t="shared" si="8"/>
        <v>#DIV/0!</v>
      </c>
    </row>
    <row r="16" spans="1:33" ht="15.75">
      <c r="A16" s="21">
        <v>7</v>
      </c>
      <c r="B16" s="66">
        <f>+'PERIODO 01'!B16</f>
        <v>0</v>
      </c>
      <c r="C16" s="51"/>
      <c r="D16" s="52"/>
      <c r="E16" s="53"/>
      <c r="F16" s="53"/>
      <c r="G16" s="52"/>
      <c r="H16" s="52"/>
      <c r="I16" s="53"/>
      <c r="J16" s="53"/>
      <c r="K16" s="52"/>
      <c r="L16" s="52"/>
      <c r="M16" s="3" t="str">
        <f t="shared" si="0"/>
        <v/>
      </c>
      <c r="N16" s="3" t="str">
        <f t="shared" si="1"/>
        <v xml:space="preserve"> </v>
      </c>
      <c r="O16" s="3" t="str">
        <f t="shared" si="2"/>
        <v/>
      </c>
      <c r="P16" s="3" t="str">
        <f t="shared" si="3"/>
        <v/>
      </c>
      <c r="Q16" s="3" t="str">
        <f t="shared" si="4"/>
        <v/>
      </c>
      <c r="R16" s="38" t="e">
        <f t="shared" si="5"/>
        <v>#DIV/0!</v>
      </c>
      <c r="S16" s="56"/>
      <c r="T16" s="57"/>
      <c r="U16" s="56"/>
      <c r="V16" s="57"/>
      <c r="W16" s="56"/>
      <c r="X16" s="40" t="e">
        <f t="shared" si="6"/>
        <v>#DIV/0!</v>
      </c>
      <c r="Y16" s="60"/>
      <c r="Z16" s="61"/>
      <c r="AA16" s="60"/>
      <c r="AB16" s="61"/>
      <c r="AC16" s="60"/>
      <c r="AD16" s="42" t="e">
        <f t="shared" si="7"/>
        <v>#DIV/0!</v>
      </c>
      <c r="AE16" s="43" t="e">
        <f t="shared" si="9"/>
        <v>#DIV/0!</v>
      </c>
      <c r="AF16" s="63"/>
      <c r="AG16" s="65" t="e">
        <f t="shared" si="8"/>
        <v>#DIV/0!</v>
      </c>
    </row>
    <row r="17" spans="1:33" ht="15.75">
      <c r="A17" s="21">
        <v>8</v>
      </c>
      <c r="B17" s="66">
        <f>+'PERIODO 01'!B17</f>
        <v>0</v>
      </c>
      <c r="C17" s="51"/>
      <c r="D17" s="52"/>
      <c r="E17" s="53"/>
      <c r="F17" s="53"/>
      <c r="G17" s="52"/>
      <c r="H17" s="52"/>
      <c r="I17" s="53"/>
      <c r="J17" s="53"/>
      <c r="K17" s="52"/>
      <c r="L17" s="52"/>
      <c r="M17" s="3" t="str">
        <f t="shared" si="0"/>
        <v/>
      </c>
      <c r="N17" s="3" t="str">
        <f t="shared" si="1"/>
        <v xml:space="preserve"> </v>
      </c>
      <c r="O17" s="3" t="str">
        <f t="shared" si="2"/>
        <v/>
      </c>
      <c r="P17" s="3" t="str">
        <f t="shared" si="3"/>
        <v/>
      </c>
      <c r="Q17" s="3" t="str">
        <f t="shared" si="4"/>
        <v/>
      </c>
      <c r="R17" s="38" t="e">
        <f t="shared" si="5"/>
        <v>#DIV/0!</v>
      </c>
      <c r="S17" s="56"/>
      <c r="T17" s="57"/>
      <c r="U17" s="56"/>
      <c r="V17" s="57"/>
      <c r="W17" s="56"/>
      <c r="X17" s="40" t="e">
        <f t="shared" si="6"/>
        <v>#DIV/0!</v>
      </c>
      <c r="Y17" s="60"/>
      <c r="Z17" s="61"/>
      <c r="AA17" s="60"/>
      <c r="AB17" s="61"/>
      <c r="AC17" s="60"/>
      <c r="AD17" s="42" t="e">
        <f t="shared" si="7"/>
        <v>#DIV/0!</v>
      </c>
      <c r="AE17" s="43" t="e">
        <f t="shared" si="9"/>
        <v>#DIV/0!</v>
      </c>
      <c r="AF17" s="63"/>
      <c r="AG17" s="65" t="e">
        <f t="shared" si="8"/>
        <v>#DIV/0!</v>
      </c>
    </row>
    <row r="18" spans="1:33" ht="15.75">
      <c r="A18" s="21">
        <v>9</v>
      </c>
      <c r="B18" s="66">
        <f>+'PERIODO 01'!B18</f>
        <v>0</v>
      </c>
      <c r="C18" s="51"/>
      <c r="D18" s="52"/>
      <c r="E18" s="53"/>
      <c r="F18" s="53"/>
      <c r="G18" s="52"/>
      <c r="H18" s="52"/>
      <c r="I18" s="53"/>
      <c r="J18" s="53"/>
      <c r="K18" s="52"/>
      <c r="L18" s="52"/>
      <c r="M18" s="3" t="str">
        <f t="shared" si="0"/>
        <v/>
      </c>
      <c r="N18" s="3" t="str">
        <f t="shared" si="1"/>
        <v xml:space="preserve"> </v>
      </c>
      <c r="O18" s="3" t="str">
        <f t="shared" si="2"/>
        <v/>
      </c>
      <c r="P18" s="3" t="str">
        <f t="shared" si="3"/>
        <v/>
      </c>
      <c r="Q18" s="3" t="str">
        <f t="shared" si="4"/>
        <v/>
      </c>
      <c r="R18" s="38" t="e">
        <f t="shared" si="5"/>
        <v>#DIV/0!</v>
      </c>
      <c r="S18" s="56"/>
      <c r="T18" s="57"/>
      <c r="U18" s="56"/>
      <c r="V18" s="57"/>
      <c r="W18" s="56"/>
      <c r="X18" s="40" t="e">
        <f t="shared" si="6"/>
        <v>#DIV/0!</v>
      </c>
      <c r="Y18" s="60"/>
      <c r="Z18" s="61"/>
      <c r="AA18" s="60"/>
      <c r="AB18" s="61"/>
      <c r="AC18" s="60"/>
      <c r="AD18" s="42" t="e">
        <f t="shared" si="7"/>
        <v>#DIV/0!</v>
      </c>
      <c r="AE18" s="43" t="e">
        <f t="shared" si="9"/>
        <v>#DIV/0!</v>
      </c>
      <c r="AF18" s="63"/>
      <c r="AG18" s="65" t="e">
        <f t="shared" si="8"/>
        <v>#DIV/0!</v>
      </c>
    </row>
    <row r="19" spans="1:33" ht="15.75">
      <c r="A19" s="21">
        <v>10</v>
      </c>
      <c r="B19" s="66">
        <f>+'PERIODO 01'!B19</f>
        <v>0</v>
      </c>
      <c r="C19" s="51"/>
      <c r="D19" s="52"/>
      <c r="E19" s="53"/>
      <c r="F19" s="53"/>
      <c r="G19" s="52"/>
      <c r="H19" s="52"/>
      <c r="I19" s="53"/>
      <c r="J19" s="53"/>
      <c r="K19" s="52"/>
      <c r="L19" s="52"/>
      <c r="M19" s="3" t="str">
        <f t="shared" si="0"/>
        <v/>
      </c>
      <c r="N19" s="3" t="str">
        <f t="shared" si="1"/>
        <v xml:space="preserve"> </v>
      </c>
      <c r="O19" s="3" t="str">
        <f t="shared" si="2"/>
        <v/>
      </c>
      <c r="P19" s="3" t="str">
        <f t="shared" si="3"/>
        <v/>
      </c>
      <c r="Q19" s="3" t="str">
        <f t="shared" si="4"/>
        <v/>
      </c>
      <c r="R19" s="38" t="e">
        <f t="shared" si="5"/>
        <v>#DIV/0!</v>
      </c>
      <c r="S19" s="56"/>
      <c r="T19" s="57"/>
      <c r="U19" s="56"/>
      <c r="V19" s="57"/>
      <c r="W19" s="56"/>
      <c r="X19" s="40" t="e">
        <f t="shared" si="6"/>
        <v>#DIV/0!</v>
      </c>
      <c r="Y19" s="60"/>
      <c r="Z19" s="61"/>
      <c r="AA19" s="60"/>
      <c r="AB19" s="61"/>
      <c r="AC19" s="60"/>
      <c r="AD19" s="42" t="e">
        <f t="shared" si="7"/>
        <v>#DIV/0!</v>
      </c>
      <c r="AE19" s="43" t="e">
        <f t="shared" si="9"/>
        <v>#DIV/0!</v>
      </c>
      <c r="AF19" s="63"/>
      <c r="AG19" s="65" t="e">
        <f t="shared" si="8"/>
        <v>#DIV/0!</v>
      </c>
    </row>
    <row r="20" spans="1:33" ht="15.75">
      <c r="A20" s="21">
        <v>11</v>
      </c>
      <c r="B20" s="66">
        <f>+'PERIODO 01'!B20</f>
        <v>0</v>
      </c>
      <c r="C20" s="51"/>
      <c r="D20" s="52"/>
      <c r="E20" s="53"/>
      <c r="F20" s="53"/>
      <c r="G20" s="52"/>
      <c r="H20" s="52"/>
      <c r="I20" s="53"/>
      <c r="J20" s="53"/>
      <c r="K20" s="52"/>
      <c r="L20" s="52"/>
      <c r="M20" s="3" t="str">
        <f t="shared" si="0"/>
        <v/>
      </c>
      <c r="N20" s="3" t="str">
        <f t="shared" si="1"/>
        <v xml:space="preserve"> </v>
      </c>
      <c r="O20" s="3" t="str">
        <f t="shared" si="2"/>
        <v/>
      </c>
      <c r="P20" s="3" t="str">
        <f t="shared" si="3"/>
        <v/>
      </c>
      <c r="Q20" s="3" t="str">
        <f t="shared" si="4"/>
        <v/>
      </c>
      <c r="R20" s="38" t="e">
        <f t="shared" si="5"/>
        <v>#DIV/0!</v>
      </c>
      <c r="S20" s="56"/>
      <c r="T20" s="57"/>
      <c r="U20" s="56"/>
      <c r="V20" s="57"/>
      <c r="W20" s="56"/>
      <c r="X20" s="40" t="e">
        <f t="shared" si="6"/>
        <v>#DIV/0!</v>
      </c>
      <c r="Y20" s="60"/>
      <c r="Z20" s="61"/>
      <c r="AA20" s="60"/>
      <c r="AB20" s="61"/>
      <c r="AC20" s="60"/>
      <c r="AD20" s="42" t="e">
        <f t="shared" si="7"/>
        <v>#DIV/0!</v>
      </c>
      <c r="AE20" s="43" t="e">
        <f t="shared" si="9"/>
        <v>#DIV/0!</v>
      </c>
      <c r="AF20" s="63"/>
      <c r="AG20" s="65" t="e">
        <f t="shared" si="8"/>
        <v>#DIV/0!</v>
      </c>
    </row>
    <row r="21" spans="1:33" ht="15.75">
      <c r="A21" s="21">
        <v>12</v>
      </c>
      <c r="B21" s="66">
        <f>+'PERIODO 01'!B21</f>
        <v>0</v>
      </c>
      <c r="C21" s="51"/>
      <c r="D21" s="52"/>
      <c r="E21" s="53"/>
      <c r="F21" s="53"/>
      <c r="G21" s="52"/>
      <c r="H21" s="52"/>
      <c r="I21" s="53"/>
      <c r="J21" s="53"/>
      <c r="K21" s="52"/>
      <c r="L21" s="52"/>
      <c r="M21" s="3" t="str">
        <f t="shared" si="0"/>
        <v/>
      </c>
      <c r="N21" s="3" t="str">
        <f t="shared" si="1"/>
        <v xml:space="preserve"> </v>
      </c>
      <c r="O21" s="3" t="str">
        <f t="shared" si="2"/>
        <v/>
      </c>
      <c r="P21" s="3" t="str">
        <f t="shared" si="3"/>
        <v/>
      </c>
      <c r="Q21" s="3" t="str">
        <f t="shared" si="4"/>
        <v/>
      </c>
      <c r="R21" s="38" t="e">
        <f t="shared" si="5"/>
        <v>#DIV/0!</v>
      </c>
      <c r="S21" s="56"/>
      <c r="T21" s="57"/>
      <c r="U21" s="56"/>
      <c r="V21" s="57"/>
      <c r="W21" s="56"/>
      <c r="X21" s="40" t="e">
        <f t="shared" si="6"/>
        <v>#DIV/0!</v>
      </c>
      <c r="Y21" s="60"/>
      <c r="Z21" s="61"/>
      <c r="AA21" s="60"/>
      <c r="AB21" s="61"/>
      <c r="AC21" s="60"/>
      <c r="AD21" s="42" t="e">
        <f t="shared" si="7"/>
        <v>#DIV/0!</v>
      </c>
      <c r="AE21" s="43" t="e">
        <f t="shared" si="9"/>
        <v>#DIV/0!</v>
      </c>
      <c r="AF21" s="63"/>
      <c r="AG21" s="65" t="e">
        <f t="shared" si="8"/>
        <v>#DIV/0!</v>
      </c>
    </row>
    <row r="22" spans="1:33" ht="15.75">
      <c r="A22" s="21">
        <v>13</v>
      </c>
      <c r="B22" s="66">
        <f>+'PERIODO 01'!B22</f>
        <v>0</v>
      </c>
      <c r="C22" s="51"/>
      <c r="D22" s="52"/>
      <c r="E22" s="53"/>
      <c r="F22" s="53"/>
      <c r="G22" s="52"/>
      <c r="H22" s="52"/>
      <c r="I22" s="53"/>
      <c r="J22" s="53"/>
      <c r="K22" s="52"/>
      <c r="L22" s="52"/>
      <c r="M22" s="3" t="str">
        <f t="shared" si="0"/>
        <v/>
      </c>
      <c r="N22" s="3" t="str">
        <f t="shared" si="1"/>
        <v xml:space="preserve"> </v>
      </c>
      <c r="O22" s="3" t="str">
        <f t="shared" si="2"/>
        <v/>
      </c>
      <c r="P22" s="3" t="str">
        <f t="shared" si="3"/>
        <v/>
      </c>
      <c r="Q22" s="3" t="str">
        <f t="shared" si="4"/>
        <v/>
      </c>
      <c r="R22" s="38" t="e">
        <f t="shared" si="5"/>
        <v>#DIV/0!</v>
      </c>
      <c r="S22" s="56"/>
      <c r="T22" s="57"/>
      <c r="U22" s="56"/>
      <c r="V22" s="57"/>
      <c r="W22" s="56"/>
      <c r="X22" s="40" t="e">
        <f t="shared" si="6"/>
        <v>#DIV/0!</v>
      </c>
      <c r="Y22" s="60"/>
      <c r="Z22" s="61"/>
      <c r="AA22" s="60"/>
      <c r="AB22" s="61"/>
      <c r="AC22" s="60"/>
      <c r="AD22" s="42" t="e">
        <f t="shared" si="7"/>
        <v>#DIV/0!</v>
      </c>
      <c r="AE22" s="43" t="e">
        <f t="shared" si="9"/>
        <v>#DIV/0!</v>
      </c>
      <c r="AF22" s="63"/>
      <c r="AG22" s="65" t="e">
        <f t="shared" si="8"/>
        <v>#DIV/0!</v>
      </c>
    </row>
    <row r="23" spans="1:33" ht="15.75" customHeight="1">
      <c r="A23" s="21">
        <v>14</v>
      </c>
      <c r="B23" s="66">
        <f>+'PERIODO 01'!B23</f>
        <v>0</v>
      </c>
      <c r="C23" s="51"/>
      <c r="D23" s="52"/>
      <c r="E23" s="53"/>
      <c r="F23" s="53"/>
      <c r="G23" s="52"/>
      <c r="H23" s="52"/>
      <c r="I23" s="53"/>
      <c r="J23" s="53"/>
      <c r="K23" s="52"/>
      <c r="L23" s="52"/>
      <c r="M23" s="3" t="str">
        <f t="shared" si="0"/>
        <v/>
      </c>
      <c r="N23" s="3" t="str">
        <f t="shared" si="1"/>
        <v xml:space="preserve"> </v>
      </c>
      <c r="O23" s="3" t="str">
        <f t="shared" si="2"/>
        <v/>
      </c>
      <c r="P23" s="3" t="str">
        <f t="shared" si="3"/>
        <v/>
      </c>
      <c r="Q23" s="3" t="str">
        <f t="shared" si="4"/>
        <v/>
      </c>
      <c r="R23" s="38" t="e">
        <f t="shared" si="5"/>
        <v>#DIV/0!</v>
      </c>
      <c r="S23" s="56"/>
      <c r="T23" s="57"/>
      <c r="U23" s="56"/>
      <c r="V23" s="57"/>
      <c r="W23" s="56"/>
      <c r="X23" s="40" t="e">
        <f t="shared" si="6"/>
        <v>#DIV/0!</v>
      </c>
      <c r="Y23" s="60"/>
      <c r="Z23" s="61"/>
      <c r="AA23" s="60"/>
      <c r="AB23" s="61"/>
      <c r="AC23" s="60"/>
      <c r="AD23" s="42" t="e">
        <f t="shared" si="7"/>
        <v>#DIV/0!</v>
      </c>
      <c r="AE23" s="43" t="e">
        <f t="shared" si="9"/>
        <v>#DIV/0!</v>
      </c>
      <c r="AF23" s="63"/>
      <c r="AG23" s="65" t="e">
        <f t="shared" si="8"/>
        <v>#DIV/0!</v>
      </c>
    </row>
    <row r="24" spans="1:33" ht="15.75" customHeight="1">
      <c r="A24" s="21">
        <v>15</v>
      </c>
      <c r="B24" s="66">
        <f>+'PERIODO 01'!B24</f>
        <v>0</v>
      </c>
      <c r="C24" s="51"/>
      <c r="D24" s="52"/>
      <c r="E24" s="53"/>
      <c r="F24" s="53"/>
      <c r="G24" s="52"/>
      <c r="H24" s="52"/>
      <c r="I24" s="53"/>
      <c r="J24" s="53"/>
      <c r="K24" s="52"/>
      <c r="L24" s="52"/>
      <c r="M24" s="3" t="str">
        <f t="shared" si="0"/>
        <v/>
      </c>
      <c r="N24" s="3" t="str">
        <f t="shared" si="1"/>
        <v xml:space="preserve"> </v>
      </c>
      <c r="O24" s="3" t="str">
        <f t="shared" si="2"/>
        <v/>
      </c>
      <c r="P24" s="3" t="str">
        <f t="shared" si="3"/>
        <v/>
      </c>
      <c r="Q24" s="3" t="str">
        <f t="shared" si="4"/>
        <v/>
      </c>
      <c r="R24" s="38" t="e">
        <f t="shared" si="5"/>
        <v>#DIV/0!</v>
      </c>
      <c r="S24" s="56"/>
      <c r="T24" s="57"/>
      <c r="U24" s="56"/>
      <c r="V24" s="57"/>
      <c r="W24" s="56"/>
      <c r="X24" s="40" t="e">
        <f t="shared" si="6"/>
        <v>#DIV/0!</v>
      </c>
      <c r="Y24" s="60"/>
      <c r="Z24" s="61"/>
      <c r="AA24" s="60"/>
      <c r="AB24" s="61"/>
      <c r="AC24" s="60"/>
      <c r="AD24" s="42" t="e">
        <f t="shared" si="7"/>
        <v>#DIV/0!</v>
      </c>
      <c r="AE24" s="43" t="e">
        <f t="shared" si="9"/>
        <v>#DIV/0!</v>
      </c>
      <c r="AF24" s="63"/>
      <c r="AG24" s="65" t="e">
        <f t="shared" si="8"/>
        <v>#DIV/0!</v>
      </c>
    </row>
    <row r="25" spans="1:33" ht="15.75" customHeight="1">
      <c r="A25" s="21">
        <v>16</v>
      </c>
      <c r="B25" s="66">
        <f>+'PERIODO 01'!B25</f>
        <v>0</v>
      </c>
      <c r="C25" s="51"/>
      <c r="D25" s="52"/>
      <c r="E25" s="53"/>
      <c r="F25" s="53"/>
      <c r="G25" s="52"/>
      <c r="H25" s="52"/>
      <c r="I25" s="53"/>
      <c r="J25" s="53"/>
      <c r="K25" s="52"/>
      <c r="L25" s="52"/>
      <c r="M25" s="3" t="str">
        <f t="shared" si="0"/>
        <v/>
      </c>
      <c r="N25" s="3" t="str">
        <f t="shared" si="1"/>
        <v xml:space="preserve"> </v>
      </c>
      <c r="O25" s="3" t="str">
        <f t="shared" si="2"/>
        <v/>
      </c>
      <c r="P25" s="3" t="str">
        <f t="shared" si="3"/>
        <v/>
      </c>
      <c r="Q25" s="3" t="str">
        <f t="shared" si="4"/>
        <v/>
      </c>
      <c r="R25" s="38" t="e">
        <f t="shared" si="5"/>
        <v>#DIV/0!</v>
      </c>
      <c r="S25" s="56"/>
      <c r="T25" s="57"/>
      <c r="U25" s="56"/>
      <c r="V25" s="57"/>
      <c r="W25" s="56"/>
      <c r="X25" s="40" t="e">
        <f t="shared" si="6"/>
        <v>#DIV/0!</v>
      </c>
      <c r="Y25" s="60"/>
      <c r="Z25" s="61"/>
      <c r="AA25" s="60"/>
      <c r="AB25" s="61"/>
      <c r="AC25" s="60"/>
      <c r="AD25" s="42" t="e">
        <f t="shared" si="7"/>
        <v>#DIV/0!</v>
      </c>
      <c r="AE25" s="43" t="e">
        <f t="shared" si="9"/>
        <v>#DIV/0!</v>
      </c>
      <c r="AF25" s="63"/>
      <c r="AG25" s="65" t="e">
        <f t="shared" si="8"/>
        <v>#DIV/0!</v>
      </c>
    </row>
    <row r="26" spans="1:33" ht="15.75" customHeight="1">
      <c r="A26" s="21">
        <v>17</v>
      </c>
      <c r="B26" s="66">
        <f>+'PERIODO 01'!B26</f>
        <v>0</v>
      </c>
      <c r="C26" s="51"/>
      <c r="D26" s="52"/>
      <c r="E26" s="53"/>
      <c r="F26" s="53"/>
      <c r="G26" s="52"/>
      <c r="H26" s="52"/>
      <c r="I26" s="53"/>
      <c r="J26" s="53"/>
      <c r="K26" s="52"/>
      <c r="L26" s="52"/>
      <c r="M26" s="3" t="str">
        <f t="shared" si="0"/>
        <v/>
      </c>
      <c r="N26" s="3" t="str">
        <f t="shared" si="1"/>
        <v xml:space="preserve"> </v>
      </c>
      <c r="O26" s="3" t="str">
        <f t="shared" si="2"/>
        <v/>
      </c>
      <c r="P26" s="3" t="str">
        <f t="shared" si="3"/>
        <v/>
      </c>
      <c r="Q26" s="3" t="str">
        <f t="shared" si="4"/>
        <v/>
      </c>
      <c r="R26" s="38" t="e">
        <f t="shared" si="5"/>
        <v>#DIV/0!</v>
      </c>
      <c r="S26" s="56"/>
      <c r="T26" s="57"/>
      <c r="U26" s="56"/>
      <c r="V26" s="57"/>
      <c r="W26" s="56"/>
      <c r="X26" s="40" t="e">
        <f t="shared" si="6"/>
        <v>#DIV/0!</v>
      </c>
      <c r="Y26" s="60"/>
      <c r="Z26" s="61"/>
      <c r="AA26" s="60"/>
      <c r="AB26" s="61"/>
      <c r="AC26" s="60"/>
      <c r="AD26" s="42" t="e">
        <f t="shared" si="7"/>
        <v>#DIV/0!</v>
      </c>
      <c r="AE26" s="43" t="e">
        <f t="shared" si="9"/>
        <v>#DIV/0!</v>
      </c>
      <c r="AF26" s="63"/>
      <c r="AG26" s="65" t="e">
        <f t="shared" si="8"/>
        <v>#DIV/0!</v>
      </c>
    </row>
    <row r="27" spans="1:33" ht="15.75" customHeight="1">
      <c r="A27" s="21">
        <v>18</v>
      </c>
      <c r="B27" s="66">
        <f>+'PERIODO 01'!B27</f>
        <v>0</v>
      </c>
      <c r="C27" s="51"/>
      <c r="D27" s="52"/>
      <c r="E27" s="53"/>
      <c r="F27" s="53"/>
      <c r="G27" s="52"/>
      <c r="H27" s="52"/>
      <c r="I27" s="53"/>
      <c r="J27" s="53"/>
      <c r="K27" s="52"/>
      <c r="L27" s="52"/>
      <c r="M27" s="3" t="str">
        <f t="shared" si="0"/>
        <v/>
      </c>
      <c r="N27" s="3" t="str">
        <f t="shared" si="1"/>
        <v xml:space="preserve"> </v>
      </c>
      <c r="O27" s="3" t="str">
        <f t="shared" si="2"/>
        <v/>
      </c>
      <c r="P27" s="3" t="str">
        <f t="shared" si="3"/>
        <v/>
      </c>
      <c r="Q27" s="3" t="str">
        <f t="shared" si="4"/>
        <v/>
      </c>
      <c r="R27" s="38" t="e">
        <f t="shared" si="5"/>
        <v>#DIV/0!</v>
      </c>
      <c r="S27" s="56"/>
      <c r="T27" s="57"/>
      <c r="U27" s="56"/>
      <c r="V27" s="57"/>
      <c r="W27" s="56"/>
      <c r="X27" s="40" t="e">
        <f t="shared" si="6"/>
        <v>#DIV/0!</v>
      </c>
      <c r="Y27" s="60"/>
      <c r="Z27" s="61"/>
      <c r="AA27" s="60"/>
      <c r="AB27" s="61"/>
      <c r="AC27" s="60"/>
      <c r="AD27" s="42" t="e">
        <f t="shared" si="7"/>
        <v>#DIV/0!</v>
      </c>
      <c r="AE27" s="43" t="e">
        <f t="shared" si="9"/>
        <v>#DIV/0!</v>
      </c>
      <c r="AF27" s="63"/>
      <c r="AG27" s="65" t="e">
        <f t="shared" si="8"/>
        <v>#DIV/0!</v>
      </c>
    </row>
    <row r="28" spans="1:33" ht="15.75" customHeight="1">
      <c r="A28" s="21">
        <v>19</v>
      </c>
      <c r="B28" s="66">
        <f>+'PERIODO 01'!B28</f>
        <v>0</v>
      </c>
      <c r="C28" s="51"/>
      <c r="D28" s="52"/>
      <c r="E28" s="53"/>
      <c r="F28" s="53"/>
      <c r="G28" s="52"/>
      <c r="H28" s="52"/>
      <c r="I28" s="53"/>
      <c r="J28" s="53"/>
      <c r="K28" s="52"/>
      <c r="L28" s="52"/>
      <c r="M28" s="3" t="str">
        <f t="shared" si="0"/>
        <v/>
      </c>
      <c r="N28" s="3" t="str">
        <f t="shared" si="1"/>
        <v xml:space="preserve"> </v>
      </c>
      <c r="O28" s="3" t="str">
        <f t="shared" si="2"/>
        <v/>
      </c>
      <c r="P28" s="3" t="str">
        <f t="shared" si="3"/>
        <v/>
      </c>
      <c r="Q28" s="3" t="str">
        <f t="shared" si="4"/>
        <v/>
      </c>
      <c r="R28" s="38" t="e">
        <f t="shared" si="5"/>
        <v>#DIV/0!</v>
      </c>
      <c r="S28" s="56"/>
      <c r="T28" s="57"/>
      <c r="U28" s="56"/>
      <c r="V28" s="57"/>
      <c r="W28" s="56"/>
      <c r="X28" s="40" t="e">
        <f t="shared" si="6"/>
        <v>#DIV/0!</v>
      </c>
      <c r="Y28" s="60"/>
      <c r="Z28" s="61"/>
      <c r="AA28" s="60"/>
      <c r="AB28" s="61"/>
      <c r="AC28" s="60"/>
      <c r="AD28" s="42" t="e">
        <f t="shared" si="7"/>
        <v>#DIV/0!</v>
      </c>
      <c r="AE28" s="43" t="e">
        <f t="shared" si="9"/>
        <v>#DIV/0!</v>
      </c>
      <c r="AF28" s="63"/>
      <c r="AG28" s="65" t="e">
        <f t="shared" si="8"/>
        <v>#DIV/0!</v>
      </c>
    </row>
    <row r="29" spans="1:33" ht="15.75" customHeight="1">
      <c r="A29" s="21">
        <v>20</v>
      </c>
      <c r="B29" s="66">
        <f>+'PERIODO 01'!B29</f>
        <v>0</v>
      </c>
      <c r="C29" s="51"/>
      <c r="D29" s="52"/>
      <c r="E29" s="53"/>
      <c r="F29" s="53"/>
      <c r="G29" s="52"/>
      <c r="H29" s="52"/>
      <c r="I29" s="53"/>
      <c r="J29" s="53"/>
      <c r="K29" s="52"/>
      <c r="L29" s="52"/>
      <c r="M29" s="3" t="str">
        <f t="shared" si="0"/>
        <v/>
      </c>
      <c r="N29" s="3" t="str">
        <f t="shared" si="1"/>
        <v xml:space="preserve"> </v>
      </c>
      <c r="O29" s="3" t="str">
        <f t="shared" si="2"/>
        <v/>
      </c>
      <c r="P29" s="3" t="str">
        <f t="shared" si="3"/>
        <v/>
      </c>
      <c r="Q29" s="3" t="str">
        <f t="shared" si="4"/>
        <v/>
      </c>
      <c r="R29" s="38" t="e">
        <f t="shared" si="5"/>
        <v>#DIV/0!</v>
      </c>
      <c r="S29" s="56"/>
      <c r="T29" s="57"/>
      <c r="U29" s="56"/>
      <c r="V29" s="57"/>
      <c r="W29" s="56"/>
      <c r="X29" s="40" t="e">
        <f t="shared" si="6"/>
        <v>#DIV/0!</v>
      </c>
      <c r="Y29" s="60"/>
      <c r="Z29" s="61"/>
      <c r="AA29" s="60"/>
      <c r="AB29" s="61"/>
      <c r="AC29" s="60"/>
      <c r="AD29" s="42" t="e">
        <f t="shared" si="7"/>
        <v>#DIV/0!</v>
      </c>
      <c r="AE29" s="43" t="e">
        <f t="shared" si="9"/>
        <v>#DIV/0!</v>
      </c>
      <c r="AF29" s="63"/>
      <c r="AG29" s="65" t="e">
        <f t="shared" si="8"/>
        <v>#DIV/0!</v>
      </c>
    </row>
    <row r="30" spans="1:33" ht="15.75" customHeight="1">
      <c r="A30" s="21">
        <v>21</v>
      </c>
      <c r="B30" s="66">
        <f>+'PERIODO 01'!B30</f>
        <v>0</v>
      </c>
      <c r="C30" s="51"/>
      <c r="D30" s="52"/>
      <c r="E30" s="53"/>
      <c r="F30" s="53"/>
      <c r="G30" s="52"/>
      <c r="H30" s="52"/>
      <c r="I30" s="53"/>
      <c r="J30" s="53"/>
      <c r="K30" s="52"/>
      <c r="L30" s="52"/>
      <c r="M30" s="3" t="str">
        <f t="shared" si="0"/>
        <v/>
      </c>
      <c r="N30" s="3" t="str">
        <f t="shared" si="1"/>
        <v xml:space="preserve"> </v>
      </c>
      <c r="O30" s="3" t="str">
        <f t="shared" si="2"/>
        <v/>
      </c>
      <c r="P30" s="3" t="str">
        <f t="shared" si="3"/>
        <v/>
      </c>
      <c r="Q30" s="3" t="str">
        <f t="shared" si="4"/>
        <v/>
      </c>
      <c r="R30" s="38" t="e">
        <f t="shared" si="5"/>
        <v>#DIV/0!</v>
      </c>
      <c r="S30" s="56"/>
      <c r="T30" s="57"/>
      <c r="U30" s="56"/>
      <c r="V30" s="57"/>
      <c r="W30" s="56"/>
      <c r="X30" s="40" t="e">
        <f t="shared" si="6"/>
        <v>#DIV/0!</v>
      </c>
      <c r="Y30" s="60"/>
      <c r="Z30" s="61"/>
      <c r="AA30" s="60"/>
      <c r="AB30" s="61"/>
      <c r="AC30" s="60"/>
      <c r="AD30" s="42" t="e">
        <f t="shared" si="7"/>
        <v>#DIV/0!</v>
      </c>
      <c r="AE30" s="43" t="e">
        <f t="shared" si="9"/>
        <v>#DIV/0!</v>
      </c>
      <c r="AF30" s="63"/>
      <c r="AG30" s="65" t="e">
        <f t="shared" si="8"/>
        <v>#DIV/0!</v>
      </c>
    </row>
    <row r="31" spans="1:33" ht="15.75" customHeight="1">
      <c r="A31" s="21">
        <v>22</v>
      </c>
      <c r="B31" s="66">
        <f>+'PERIODO 01'!B31</f>
        <v>0</v>
      </c>
      <c r="C31" s="51"/>
      <c r="D31" s="52"/>
      <c r="E31" s="53"/>
      <c r="F31" s="53"/>
      <c r="G31" s="52"/>
      <c r="H31" s="52"/>
      <c r="I31" s="53"/>
      <c r="J31" s="53"/>
      <c r="K31" s="52"/>
      <c r="L31" s="52"/>
      <c r="M31" s="3" t="str">
        <f t="shared" si="0"/>
        <v/>
      </c>
      <c r="N31" s="3" t="str">
        <f t="shared" si="1"/>
        <v xml:space="preserve"> </v>
      </c>
      <c r="O31" s="3" t="str">
        <f t="shared" si="2"/>
        <v/>
      </c>
      <c r="P31" s="3" t="str">
        <f t="shared" si="3"/>
        <v/>
      </c>
      <c r="Q31" s="3" t="str">
        <f t="shared" si="4"/>
        <v/>
      </c>
      <c r="R31" s="38" t="e">
        <f t="shared" si="5"/>
        <v>#DIV/0!</v>
      </c>
      <c r="S31" s="56"/>
      <c r="T31" s="57"/>
      <c r="U31" s="56"/>
      <c r="V31" s="57"/>
      <c r="W31" s="56"/>
      <c r="X31" s="40" t="e">
        <f t="shared" si="6"/>
        <v>#DIV/0!</v>
      </c>
      <c r="Y31" s="60"/>
      <c r="Z31" s="61"/>
      <c r="AA31" s="60"/>
      <c r="AB31" s="61"/>
      <c r="AC31" s="60"/>
      <c r="AD31" s="42" t="e">
        <f t="shared" si="7"/>
        <v>#DIV/0!</v>
      </c>
      <c r="AE31" s="43" t="e">
        <f t="shared" si="9"/>
        <v>#DIV/0!</v>
      </c>
      <c r="AF31" s="63"/>
      <c r="AG31" s="65" t="e">
        <f t="shared" si="8"/>
        <v>#DIV/0!</v>
      </c>
    </row>
    <row r="32" spans="1:33" ht="15.75" customHeight="1">
      <c r="A32" s="21">
        <v>23</v>
      </c>
      <c r="B32" s="66">
        <f>+'PERIODO 01'!B32</f>
        <v>0</v>
      </c>
      <c r="C32" s="51"/>
      <c r="D32" s="52"/>
      <c r="E32" s="53"/>
      <c r="F32" s="53"/>
      <c r="G32" s="52"/>
      <c r="H32" s="52"/>
      <c r="I32" s="53"/>
      <c r="J32" s="53"/>
      <c r="K32" s="52"/>
      <c r="L32" s="52"/>
      <c r="M32" s="3" t="str">
        <f t="shared" si="0"/>
        <v/>
      </c>
      <c r="N32" s="3" t="str">
        <f t="shared" si="1"/>
        <v xml:space="preserve"> </v>
      </c>
      <c r="O32" s="3" t="str">
        <f t="shared" si="2"/>
        <v/>
      </c>
      <c r="P32" s="3" t="str">
        <f t="shared" si="3"/>
        <v/>
      </c>
      <c r="Q32" s="3" t="str">
        <f t="shared" si="4"/>
        <v/>
      </c>
      <c r="R32" s="38" t="e">
        <f t="shared" si="5"/>
        <v>#DIV/0!</v>
      </c>
      <c r="S32" s="56"/>
      <c r="T32" s="57"/>
      <c r="U32" s="56"/>
      <c r="V32" s="57"/>
      <c r="W32" s="56"/>
      <c r="X32" s="40" t="e">
        <f t="shared" si="6"/>
        <v>#DIV/0!</v>
      </c>
      <c r="Y32" s="60"/>
      <c r="Z32" s="61"/>
      <c r="AA32" s="60"/>
      <c r="AB32" s="61"/>
      <c r="AC32" s="60"/>
      <c r="AD32" s="42" t="e">
        <f t="shared" si="7"/>
        <v>#DIV/0!</v>
      </c>
      <c r="AE32" s="43" t="e">
        <f t="shared" si="9"/>
        <v>#DIV/0!</v>
      </c>
      <c r="AF32" s="63"/>
      <c r="AG32" s="65" t="e">
        <f t="shared" si="8"/>
        <v>#DIV/0!</v>
      </c>
    </row>
    <row r="33" spans="1:33" ht="15.75" customHeight="1">
      <c r="A33" s="21">
        <v>24</v>
      </c>
      <c r="B33" s="66">
        <f>+'PERIODO 01'!B33</f>
        <v>0</v>
      </c>
      <c r="C33" s="51"/>
      <c r="D33" s="52"/>
      <c r="E33" s="53"/>
      <c r="F33" s="53"/>
      <c r="G33" s="52"/>
      <c r="H33" s="52"/>
      <c r="I33" s="53"/>
      <c r="J33" s="53"/>
      <c r="K33" s="52"/>
      <c r="L33" s="52"/>
      <c r="M33" s="3" t="str">
        <f t="shared" si="0"/>
        <v/>
      </c>
      <c r="N33" s="3" t="str">
        <f t="shared" si="1"/>
        <v xml:space="preserve"> </v>
      </c>
      <c r="O33" s="3" t="str">
        <f t="shared" si="2"/>
        <v/>
      </c>
      <c r="P33" s="3" t="str">
        <f t="shared" si="3"/>
        <v/>
      </c>
      <c r="Q33" s="3" t="str">
        <f t="shared" si="4"/>
        <v/>
      </c>
      <c r="R33" s="38" t="e">
        <f t="shared" si="5"/>
        <v>#DIV/0!</v>
      </c>
      <c r="S33" s="56"/>
      <c r="T33" s="57"/>
      <c r="U33" s="56"/>
      <c r="V33" s="57"/>
      <c r="W33" s="56"/>
      <c r="X33" s="40" t="e">
        <f t="shared" si="6"/>
        <v>#DIV/0!</v>
      </c>
      <c r="Y33" s="60"/>
      <c r="Z33" s="61"/>
      <c r="AA33" s="60"/>
      <c r="AB33" s="61"/>
      <c r="AC33" s="60"/>
      <c r="AD33" s="42" t="e">
        <f t="shared" si="7"/>
        <v>#DIV/0!</v>
      </c>
      <c r="AE33" s="43" t="e">
        <f t="shared" si="9"/>
        <v>#DIV/0!</v>
      </c>
      <c r="AF33" s="63"/>
      <c r="AG33" s="65" t="e">
        <f t="shared" si="8"/>
        <v>#DIV/0!</v>
      </c>
    </row>
    <row r="34" spans="1:33" ht="15.75" customHeight="1">
      <c r="A34" s="21">
        <v>25</v>
      </c>
      <c r="B34" s="66">
        <f>+'PERIODO 01'!B34</f>
        <v>0</v>
      </c>
      <c r="C34" s="51"/>
      <c r="D34" s="52"/>
      <c r="E34" s="53"/>
      <c r="F34" s="53"/>
      <c r="G34" s="52"/>
      <c r="H34" s="52"/>
      <c r="I34" s="53"/>
      <c r="J34" s="53"/>
      <c r="K34" s="52"/>
      <c r="L34" s="52"/>
      <c r="M34" s="3" t="str">
        <f t="shared" si="0"/>
        <v/>
      </c>
      <c r="N34" s="3" t="str">
        <f t="shared" si="1"/>
        <v xml:space="preserve"> </v>
      </c>
      <c r="O34" s="3" t="str">
        <f t="shared" si="2"/>
        <v/>
      </c>
      <c r="P34" s="3" t="str">
        <f t="shared" si="3"/>
        <v/>
      </c>
      <c r="Q34" s="3" t="str">
        <f t="shared" si="4"/>
        <v/>
      </c>
      <c r="R34" s="38" t="e">
        <f t="shared" si="5"/>
        <v>#DIV/0!</v>
      </c>
      <c r="S34" s="56"/>
      <c r="T34" s="57"/>
      <c r="U34" s="56"/>
      <c r="V34" s="57"/>
      <c r="W34" s="56"/>
      <c r="X34" s="40" t="e">
        <f t="shared" si="6"/>
        <v>#DIV/0!</v>
      </c>
      <c r="Y34" s="60"/>
      <c r="Z34" s="61"/>
      <c r="AA34" s="60"/>
      <c r="AB34" s="61"/>
      <c r="AC34" s="60"/>
      <c r="AD34" s="42" t="e">
        <f t="shared" si="7"/>
        <v>#DIV/0!</v>
      </c>
      <c r="AE34" s="43" t="e">
        <f t="shared" si="9"/>
        <v>#DIV/0!</v>
      </c>
      <c r="AF34" s="63"/>
      <c r="AG34" s="65" t="e">
        <f t="shared" si="8"/>
        <v>#DIV/0!</v>
      </c>
    </row>
    <row r="35" spans="1:33" ht="15.75" customHeight="1">
      <c r="A35" s="21">
        <v>26</v>
      </c>
      <c r="B35" s="66">
        <f>+'PERIODO 01'!B35</f>
        <v>0</v>
      </c>
      <c r="C35" s="51"/>
      <c r="D35" s="52"/>
      <c r="E35" s="53"/>
      <c r="F35" s="53"/>
      <c r="G35" s="52"/>
      <c r="H35" s="52"/>
      <c r="I35" s="53"/>
      <c r="J35" s="53"/>
      <c r="K35" s="52"/>
      <c r="L35" s="52"/>
      <c r="M35" s="3" t="str">
        <f t="shared" si="0"/>
        <v/>
      </c>
      <c r="N35" s="3" t="str">
        <f t="shared" si="1"/>
        <v xml:space="preserve"> </v>
      </c>
      <c r="O35" s="3" t="str">
        <f t="shared" si="2"/>
        <v/>
      </c>
      <c r="P35" s="3" t="str">
        <f t="shared" si="3"/>
        <v/>
      </c>
      <c r="Q35" s="3" t="str">
        <f t="shared" si="4"/>
        <v/>
      </c>
      <c r="R35" s="38" t="e">
        <f t="shared" si="5"/>
        <v>#DIV/0!</v>
      </c>
      <c r="S35" s="56"/>
      <c r="T35" s="57"/>
      <c r="U35" s="56"/>
      <c r="V35" s="57"/>
      <c r="W35" s="56"/>
      <c r="X35" s="40" t="e">
        <f t="shared" si="6"/>
        <v>#DIV/0!</v>
      </c>
      <c r="Y35" s="60"/>
      <c r="Z35" s="61"/>
      <c r="AA35" s="60"/>
      <c r="AB35" s="61"/>
      <c r="AC35" s="60"/>
      <c r="AD35" s="42" t="e">
        <f t="shared" si="7"/>
        <v>#DIV/0!</v>
      </c>
      <c r="AE35" s="43" t="e">
        <f t="shared" si="9"/>
        <v>#DIV/0!</v>
      </c>
      <c r="AF35" s="63"/>
      <c r="AG35" s="65" t="e">
        <f t="shared" si="8"/>
        <v>#DIV/0!</v>
      </c>
    </row>
    <row r="36" spans="1:33" ht="15.75" customHeight="1">
      <c r="A36" s="21">
        <v>27</v>
      </c>
      <c r="B36" s="66">
        <f>+'PERIODO 01'!B36</f>
        <v>0</v>
      </c>
      <c r="C36" s="51"/>
      <c r="D36" s="52"/>
      <c r="E36" s="53"/>
      <c r="F36" s="53"/>
      <c r="G36" s="52"/>
      <c r="H36" s="52"/>
      <c r="I36" s="53"/>
      <c r="J36" s="53"/>
      <c r="K36" s="52"/>
      <c r="L36" s="52"/>
      <c r="M36" s="3" t="str">
        <f t="shared" si="0"/>
        <v/>
      </c>
      <c r="N36" s="3" t="str">
        <f t="shared" si="1"/>
        <v xml:space="preserve"> </v>
      </c>
      <c r="O36" s="3" t="str">
        <f t="shared" si="2"/>
        <v/>
      </c>
      <c r="P36" s="3" t="str">
        <f t="shared" si="3"/>
        <v/>
      </c>
      <c r="Q36" s="3" t="str">
        <f t="shared" si="4"/>
        <v/>
      </c>
      <c r="R36" s="38" t="e">
        <f t="shared" si="5"/>
        <v>#DIV/0!</v>
      </c>
      <c r="S36" s="56"/>
      <c r="T36" s="57"/>
      <c r="U36" s="56"/>
      <c r="V36" s="57"/>
      <c r="W36" s="56"/>
      <c r="X36" s="40" t="e">
        <f t="shared" si="6"/>
        <v>#DIV/0!</v>
      </c>
      <c r="Y36" s="60"/>
      <c r="Z36" s="61"/>
      <c r="AA36" s="60"/>
      <c r="AB36" s="61"/>
      <c r="AC36" s="60"/>
      <c r="AD36" s="42" t="e">
        <f t="shared" si="7"/>
        <v>#DIV/0!</v>
      </c>
      <c r="AE36" s="43" t="e">
        <f t="shared" si="9"/>
        <v>#DIV/0!</v>
      </c>
      <c r="AF36" s="63"/>
      <c r="AG36" s="65" t="e">
        <f t="shared" si="8"/>
        <v>#DIV/0!</v>
      </c>
    </row>
    <row r="37" spans="1:33" ht="15.75" customHeight="1">
      <c r="A37" s="21">
        <v>28</v>
      </c>
      <c r="B37" s="66">
        <f>+'PERIODO 01'!B37</f>
        <v>0</v>
      </c>
      <c r="C37" s="51"/>
      <c r="D37" s="52"/>
      <c r="E37" s="53"/>
      <c r="F37" s="53"/>
      <c r="G37" s="52"/>
      <c r="H37" s="52"/>
      <c r="I37" s="53"/>
      <c r="J37" s="53"/>
      <c r="K37" s="52"/>
      <c r="L37" s="52"/>
      <c r="M37" s="3" t="str">
        <f t="shared" si="0"/>
        <v/>
      </c>
      <c r="N37" s="3" t="str">
        <f t="shared" si="1"/>
        <v xml:space="preserve"> </v>
      </c>
      <c r="O37" s="3" t="str">
        <f t="shared" si="2"/>
        <v/>
      </c>
      <c r="P37" s="3" t="str">
        <f t="shared" si="3"/>
        <v/>
      </c>
      <c r="Q37" s="3" t="str">
        <f t="shared" si="4"/>
        <v/>
      </c>
      <c r="R37" s="38" t="e">
        <f t="shared" si="5"/>
        <v>#DIV/0!</v>
      </c>
      <c r="S37" s="56"/>
      <c r="T37" s="57"/>
      <c r="U37" s="56"/>
      <c r="V37" s="57"/>
      <c r="W37" s="56"/>
      <c r="X37" s="40" t="e">
        <f t="shared" si="6"/>
        <v>#DIV/0!</v>
      </c>
      <c r="Y37" s="60"/>
      <c r="Z37" s="61"/>
      <c r="AA37" s="60"/>
      <c r="AB37" s="61"/>
      <c r="AC37" s="60"/>
      <c r="AD37" s="42" t="e">
        <f t="shared" si="7"/>
        <v>#DIV/0!</v>
      </c>
      <c r="AE37" s="43" t="e">
        <f t="shared" si="9"/>
        <v>#DIV/0!</v>
      </c>
      <c r="AF37" s="63"/>
      <c r="AG37" s="65" t="e">
        <f t="shared" si="8"/>
        <v>#DIV/0!</v>
      </c>
    </row>
    <row r="38" spans="1:33" ht="15.75" customHeight="1">
      <c r="A38" s="21">
        <v>29</v>
      </c>
      <c r="B38" s="66">
        <f>+'PERIODO 01'!B38</f>
        <v>0</v>
      </c>
      <c r="C38" s="51"/>
      <c r="D38" s="52"/>
      <c r="E38" s="53"/>
      <c r="F38" s="53"/>
      <c r="G38" s="52"/>
      <c r="H38" s="52"/>
      <c r="I38" s="53"/>
      <c r="J38" s="53"/>
      <c r="K38" s="52"/>
      <c r="L38" s="52"/>
      <c r="M38" s="3" t="str">
        <f t="shared" si="0"/>
        <v/>
      </c>
      <c r="N38" s="3" t="str">
        <f t="shared" si="1"/>
        <v xml:space="preserve"> </v>
      </c>
      <c r="O38" s="3" t="str">
        <f t="shared" si="2"/>
        <v/>
      </c>
      <c r="P38" s="3" t="str">
        <f t="shared" si="3"/>
        <v/>
      </c>
      <c r="Q38" s="3" t="str">
        <f t="shared" si="4"/>
        <v/>
      </c>
      <c r="R38" s="38" t="e">
        <f t="shared" si="5"/>
        <v>#DIV/0!</v>
      </c>
      <c r="S38" s="56"/>
      <c r="T38" s="57"/>
      <c r="U38" s="56"/>
      <c r="V38" s="57"/>
      <c r="W38" s="56"/>
      <c r="X38" s="40" t="e">
        <f t="shared" si="6"/>
        <v>#DIV/0!</v>
      </c>
      <c r="Y38" s="60"/>
      <c r="Z38" s="61"/>
      <c r="AA38" s="60"/>
      <c r="AB38" s="61"/>
      <c r="AC38" s="60"/>
      <c r="AD38" s="42" t="e">
        <f t="shared" si="7"/>
        <v>#DIV/0!</v>
      </c>
      <c r="AE38" s="43" t="e">
        <f t="shared" si="9"/>
        <v>#DIV/0!</v>
      </c>
      <c r="AF38" s="63"/>
      <c r="AG38" s="65" t="e">
        <f t="shared" si="8"/>
        <v>#DIV/0!</v>
      </c>
    </row>
    <row r="39" spans="1:33" ht="15.75" customHeight="1">
      <c r="A39" s="21">
        <v>30</v>
      </c>
      <c r="B39" s="66">
        <f>+'PERIODO 01'!B39</f>
        <v>0</v>
      </c>
      <c r="C39" s="51"/>
      <c r="D39" s="52"/>
      <c r="E39" s="53"/>
      <c r="F39" s="53"/>
      <c r="G39" s="52"/>
      <c r="H39" s="52"/>
      <c r="I39" s="53"/>
      <c r="J39" s="53"/>
      <c r="K39" s="52"/>
      <c r="L39" s="52"/>
      <c r="M39" s="3" t="str">
        <f t="shared" si="0"/>
        <v/>
      </c>
      <c r="N39" s="3" t="str">
        <f t="shared" si="1"/>
        <v xml:space="preserve"> </v>
      </c>
      <c r="O39" s="3" t="str">
        <f t="shared" si="2"/>
        <v/>
      </c>
      <c r="P39" s="3" t="str">
        <f t="shared" si="3"/>
        <v/>
      </c>
      <c r="Q39" s="3" t="str">
        <f t="shared" si="4"/>
        <v/>
      </c>
      <c r="R39" s="38" t="e">
        <f t="shared" si="5"/>
        <v>#DIV/0!</v>
      </c>
      <c r="S39" s="56"/>
      <c r="T39" s="57"/>
      <c r="U39" s="56"/>
      <c r="V39" s="57"/>
      <c r="W39" s="56"/>
      <c r="X39" s="40" t="e">
        <f t="shared" si="6"/>
        <v>#DIV/0!</v>
      </c>
      <c r="Y39" s="60"/>
      <c r="Z39" s="61"/>
      <c r="AA39" s="60"/>
      <c r="AB39" s="61"/>
      <c r="AC39" s="60"/>
      <c r="AD39" s="42" t="e">
        <f t="shared" si="7"/>
        <v>#DIV/0!</v>
      </c>
      <c r="AE39" s="43" t="e">
        <f t="shared" si="9"/>
        <v>#DIV/0!</v>
      </c>
      <c r="AF39" s="63"/>
      <c r="AG39" s="65" t="e">
        <f t="shared" si="8"/>
        <v>#DIV/0!</v>
      </c>
    </row>
    <row r="40" spans="1:33" ht="15.75" customHeight="1">
      <c r="A40" s="21">
        <v>31</v>
      </c>
      <c r="B40" s="66">
        <f>+'PERIODO 01'!B40</f>
        <v>0</v>
      </c>
      <c r="C40" s="51"/>
      <c r="D40" s="52"/>
      <c r="E40" s="53"/>
      <c r="F40" s="53"/>
      <c r="G40" s="52"/>
      <c r="H40" s="52"/>
      <c r="I40" s="53"/>
      <c r="J40" s="53"/>
      <c r="K40" s="52"/>
      <c r="L40" s="52"/>
      <c r="M40" s="3" t="str">
        <f t="shared" si="0"/>
        <v/>
      </c>
      <c r="N40" s="3" t="str">
        <f t="shared" si="1"/>
        <v xml:space="preserve"> </v>
      </c>
      <c r="O40" s="3" t="str">
        <f t="shared" si="2"/>
        <v/>
      </c>
      <c r="P40" s="3" t="str">
        <f t="shared" si="3"/>
        <v/>
      </c>
      <c r="Q40" s="3" t="str">
        <f t="shared" si="4"/>
        <v/>
      </c>
      <c r="R40" s="38" t="e">
        <f t="shared" si="5"/>
        <v>#DIV/0!</v>
      </c>
      <c r="S40" s="56"/>
      <c r="T40" s="57"/>
      <c r="U40" s="56"/>
      <c r="V40" s="57"/>
      <c r="W40" s="56"/>
      <c r="X40" s="40" t="e">
        <f t="shared" si="6"/>
        <v>#DIV/0!</v>
      </c>
      <c r="Y40" s="60"/>
      <c r="Z40" s="61"/>
      <c r="AA40" s="60"/>
      <c r="AB40" s="61"/>
      <c r="AC40" s="60"/>
      <c r="AD40" s="42" t="e">
        <f t="shared" si="7"/>
        <v>#DIV/0!</v>
      </c>
      <c r="AE40" s="43" t="e">
        <f t="shared" si="9"/>
        <v>#DIV/0!</v>
      </c>
      <c r="AF40" s="63"/>
      <c r="AG40" s="65" t="e">
        <f t="shared" si="8"/>
        <v>#DIV/0!</v>
      </c>
    </row>
    <row r="41" spans="1:33" ht="15.75" customHeight="1">
      <c r="A41" s="21">
        <v>32</v>
      </c>
      <c r="B41" s="66">
        <f>+'PERIODO 01'!B41</f>
        <v>0</v>
      </c>
      <c r="C41" s="51"/>
      <c r="D41" s="52"/>
      <c r="E41" s="53"/>
      <c r="F41" s="53"/>
      <c r="G41" s="52"/>
      <c r="H41" s="52"/>
      <c r="I41" s="53"/>
      <c r="J41" s="53"/>
      <c r="K41" s="52"/>
      <c r="L41" s="52"/>
      <c r="M41" s="3" t="str">
        <f t="shared" si="0"/>
        <v/>
      </c>
      <c r="N41" s="3" t="str">
        <f t="shared" si="1"/>
        <v xml:space="preserve"> </v>
      </c>
      <c r="O41" s="3" t="str">
        <f t="shared" si="2"/>
        <v/>
      </c>
      <c r="P41" s="3" t="str">
        <f t="shared" si="3"/>
        <v/>
      </c>
      <c r="Q41" s="3" t="str">
        <f t="shared" si="4"/>
        <v/>
      </c>
      <c r="R41" s="38" t="e">
        <f t="shared" si="5"/>
        <v>#DIV/0!</v>
      </c>
      <c r="S41" s="56"/>
      <c r="T41" s="57"/>
      <c r="U41" s="56"/>
      <c r="V41" s="57"/>
      <c r="W41" s="56"/>
      <c r="X41" s="40" t="e">
        <f t="shared" si="6"/>
        <v>#DIV/0!</v>
      </c>
      <c r="Y41" s="60"/>
      <c r="Z41" s="61"/>
      <c r="AA41" s="60"/>
      <c r="AB41" s="61"/>
      <c r="AC41" s="60"/>
      <c r="AD41" s="42" t="e">
        <f t="shared" si="7"/>
        <v>#DIV/0!</v>
      </c>
      <c r="AE41" s="43" t="e">
        <f t="shared" si="9"/>
        <v>#DIV/0!</v>
      </c>
      <c r="AF41" s="63"/>
      <c r="AG41" s="65" t="e">
        <f t="shared" si="8"/>
        <v>#DIV/0!</v>
      </c>
    </row>
    <row r="42" spans="1:33" ht="15.75" customHeight="1">
      <c r="A42" s="21">
        <v>33</v>
      </c>
      <c r="B42" s="66">
        <f>+'PERIODO 01'!B42</f>
        <v>0</v>
      </c>
      <c r="C42" s="51"/>
      <c r="D42" s="52"/>
      <c r="E42" s="53"/>
      <c r="F42" s="53"/>
      <c r="G42" s="52"/>
      <c r="H42" s="52"/>
      <c r="I42" s="53"/>
      <c r="J42" s="53"/>
      <c r="K42" s="52"/>
      <c r="L42" s="52"/>
      <c r="M42" s="3" t="str">
        <f t="shared" si="0"/>
        <v/>
      </c>
      <c r="N42" s="3" t="str">
        <f t="shared" si="1"/>
        <v xml:space="preserve"> </v>
      </c>
      <c r="O42" s="3" t="str">
        <f t="shared" si="2"/>
        <v/>
      </c>
      <c r="P42" s="3" t="str">
        <f t="shared" si="3"/>
        <v/>
      </c>
      <c r="Q42" s="3" t="str">
        <f t="shared" si="4"/>
        <v/>
      </c>
      <c r="R42" s="38" t="e">
        <f t="shared" si="5"/>
        <v>#DIV/0!</v>
      </c>
      <c r="S42" s="56"/>
      <c r="T42" s="57"/>
      <c r="U42" s="56"/>
      <c r="V42" s="57"/>
      <c r="W42" s="56"/>
      <c r="X42" s="40" t="e">
        <f t="shared" si="6"/>
        <v>#DIV/0!</v>
      </c>
      <c r="Y42" s="60"/>
      <c r="Z42" s="61"/>
      <c r="AA42" s="60"/>
      <c r="AB42" s="61"/>
      <c r="AC42" s="60"/>
      <c r="AD42" s="42" t="e">
        <f t="shared" si="7"/>
        <v>#DIV/0!</v>
      </c>
      <c r="AE42" s="43" t="e">
        <f t="shared" si="9"/>
        <v>#DIV/0!</v>
      </c>
      <c r="AF42" s="63"/>
      <c r="AG42" s="65" t="e">
        <f t="shared" si="8"/>
        <v>#DIV/0!</v>
      </c>
    </row>
    <row r="43" spans="1:33" ht="15.75" customHeight="1">
      <c r="A43" s="21">
        <v>34</v>
      </c>
      <c r="B43" s="66">
        <f>+'PERIODO 01'!B43</f>
        <v>0</v>
      </c>
      <c r="C43" s="51"/>
      <c r="D43" s="52"/>
      <c r="E43" s="53"/>
      <c r="F43" s="53"/>
      <c r="G43" s="52"/>
      <c r="H43" s="52"/>
      <c r="I43" s="53"/>
      <c r="J43" s="53"/>
      <c r="K43" s="52"/>
      <c r="L43" s="52"/>
      <c r="M43" s="3" t="str">
        <f t="shared" si="0"/>
        <v/>
      </c>
      <c r="N43" s="3" t="str">
        <f t="shared" si="1"/>
        <v xml:space="preserve"> </v>
      </c>
      <c r="O43" s="3" t="str">
        <f t="shared" si="2"/>
        <v/>
      </c>
      <c r="P43" s="3" t="str">
        <f t="shared" si="3"/>
        <v/>
      </c>
      <c r="Q43" s="3" t="str">
        <f t="shared" si="4"/>
        <v/>
      </c>
      <c r="R43" s="38" t="e">
        <f t="shared" si="5"/>
        <v>#DIV/0!</v>
      </c>
      <c r="S43" s="56"/>
      <c r="T43" s="57"/>
      <c r="U43" s="56"/>
      <c r="V43" s="57"/>
      <c r="W43" s="56"/>
      <c r="X43" s="40" t="e">
        <f t="shared" si="6"/>
        <v>#DIV/0!</v>
      </c>
      <c r="Y43" s="60"/>
      <c r="Z43" s="61"/>
      <c r="AA43" s="60"/>
      <c r="AB43" s="61"/>
      <c r="AC43" s="60"/>
      <c r="AD43" s="42" t="e">
        <f t="shared" si="7"/>
        <v>#DIV/0!</v>
      </c>
      <c r="AE43" s="43" t="e">
        <f t="shared" si="9"/>
        <v>#DIV/0!</v>
      </c>
      <c r="AF43" s="63"/>
      <c r="AG43" s="65" t="e">
        <f t="shared" si="8"/>
        <v>#DIV/0!</v>
      </c>
    </row>
    <row r="44" spans="1:33" ht="15.75" customHeight="1">
      <c r="A44" s="21">
        <v>35</v>
      </c>
      <c r="B44" s="66">
        <f>+'PERIODO 01'!B44</f>
        <v>0</v>
      </c>
      <c r="C44" s="51"/>
      <c r="D44" s="52"/>
      <c r="E44" s="53"/>
      <c r="F44" s="53"/>
      <c r="G44" s="52"/>
      <c r="H44" s="52"/>
      <c r="I44" s="53"/>
      <c r="J44" s="53"/>
      <c r="K44" s="52"/>
      <c r="L44" s="52"/>
      <c r="M44" s="3" t="str">
        <f t="shared" si="0"/>
        <v/>
      </c>
      <c r="N44" s="3" t="str">
        <f t="shared" si="1"/>
        <v xml:space="preserve"> </v>
      </c>
      <c r="O44" s="3" t="str">
        <f t="shared" si="2"/>
        <v/>
      </c>
      <c r="P44" s="3" t="str">
        <f t="shared" si="3"/>
        <v/>
      </c>
      <c r="Q44" s="3" t="str">
        <f t="shared" si="4"/>
        <v/>
      </c>
      <c r="R44" s="38" t="e">
        <f t="shared" si="5"/>
        <v>#DIV/0!</v>
      </c>
      <c r="S44" s="56"/>
      <c r="T44" s="57"/>
      <c r="U44" s="56"/>
      <c r="V44" s="57"/>
      <c r="W44" s="56"/>
      <c r="X44" s="40" t="e">
        <f t="shared" si="6"/>
        <v>#DIV/0!</v>
      </c>
      <c r="Y44" s="60"/>
      <c r="Z44" s="61"/>
      <c r="AA44" s="60"/>
      <c r="AB44" s="61"/>
      <c r="AC44" s="60"/>
      <c r="AD44" s="42" t="e">
        <f t="shared" si="7"/>
        <v>#DIV/0!</v>
      </c>
      <c r="AE44" s="43" t="e">
        <f t="shared" si="9"/>
        <v>#DIV/0!</v>
      </c>
      <c r="AF44" s="63"/>
      <c r="AG44" s="65" t="e">
        <f t="shared" si="8"/>
        <v>#DIV/0!</v>
      </c>
    </row>
    <row r="45" spans="1:33" ht="15.75" customHeight="1">
      <c r="A45" s="21">
        <v>36</v>
      </c>
      <c r="B45" s="66">
        <f>+'PERIODO 01'!B45</f>
        <v>0</v>
      </c>
      <c r="C45" s="51"/>
      <c r="D45" s="52"/>
      <c r="E45" s="53"/>
      <c r="F45" s="53"/>
      <c r="G45" s="52"/>
      <c r="H45" s="52"/>
      <c r="I45" s="53"/>
      <c r="J45" s="53"/>
      <c r="K45" s="52"/>
      <c r="L45" s="52"/>
      <c r="M45" s="3" t="str">
        <f t="shared" si="0"/>
        <v/>
      </c>
      <c r="N45" s="3" t="str">
        <f t="shared" si="1"/>
        <v xml:space="preserve"> </v>
      </c>
      <c r="O45" s="3" t="str">
        <f t="shared" si="2"/>
        <v/>
      </c>
      <c r="P45" s="3" t="str">
        <f t="shared" si="3"/>
        <v/>
      </c>
      <c r="Q45" s="3" t="str">
        <f t="shared" si="4"/>
        <v/>
      </c>
      <c r="R45" s="38" t="e">
        <f t="shared" si="5"/>
        <v>#DIV/0!</v>
      </c>
      <c r="S45" s="56"/>
      <c r="T45" s="57"/>
      <c r="U45" s="56"/>
      <c r="V45" s="57"/>
      <c r="W45" s="56"/>
      <c r="X45" s="40" t="e">
        <f t="shared" si="6"/>
        <v>#DIV/0!</v>
      </c>
      <c r="Y45" s="60"/>
      <c r="Z45" s="61"/>
      <c r="AA45" s="60"/>
      <c r="AB45" s="61"/>
      <c r="AC45" s="60"/>
      <c r="AD45" s="42" t="e">
        <f t="shared" si="7"/>
        <v>#DIV/0!</v>
      </c>
      <c r="AE45" s="43" t="e">
        <f t="shared" si="9"/>
        <v>#DIV/0!</v>
      </c>
      <c r="AF45" s="63"/>
      <c r="AG45" s="65" t="e">
        <f t="shared" si="8"/>
        <v>#DIV/0!</v>
      </c>
    </row>
    <row r="46" spans="1:33" ht="15.75" customHeight="1">
      <c r="A46" s="21">
        <v>37</v>
      </c>
      <c r="B46" s="66">
        <f>+'PERIODO 01'!B46</f>
        <v>0</v>
      </c>
      <c r="C46" s="51"/>
      <c r="D46" s="52"/>
      <c r="E46" s="53"/>
      <c r="F46" s="53"/>
      <c r="G46" s="52"/>
      <c r="H46" s="52"/>
      <c r="I46" s="53"/>
      <c r="J46" s="53"/>
      <c r="K46" s="52"/>
      <c r="L46" s="52"/>
      <c r="M46" s="3" t="str">
        <f t="shared" si="0"/>
        <v/>
      </c>
      <c r="N46" s="3" t="str">
        <f t="shared" si="1"/>
        <v xml:space="preserve"> </v>
      </c>
      <c r="O46" s="3" t="str">
        <f t="shared" si="2"/>
        <v/>
      </c>
      <c r="P46" s="3" t="str">
        <f t="shared" si="3"/>
        <v/>
      </c>
      <c r="Q46" s="3" t="str">
        <f t="shared" si="4"/>
        <v/>
      </c>
      <c r="R46" s="38" t="e">
        <f t="shared" si="5"/>
        <v>#DIV/0!</v>
      </c>
      <c r="S46" s="56"/>
      <c r="T46" s="57"/>
      <c r="U46" s="56"/>
      <c r="V46" s="57"/>
      <c r="W46" s="56"/>
      <c r="X46" s="40" t="e">
        <f t="shared" si="6"/>
        <v>#DIV/0!</v>
      </c>
      <c r="Y46" s="60"/>
      <c r="Z46" s="61"/>
      <c r="AA46" s="60"/>
      <c r="AB46" s="61"/>
      <c r="AC46" s="60"/>
      <c r="AD46" s="42" t="e">
        <f t="shared" si="7"/>
        <v>#DIV/0!</v>
      </c>
      <c r="AE46" s="43" t="e">
        <f t="shared" si="9"/>
        <v>#DIV/0!</v>
      </c>
      <c r="AF46" s="63"/>
      <c r="AG46" s="65" t="e">
        <f t="shared" si="8"/>
        <v>#DIV/0!</v>
      </c>
    </row>
    <row r="47" spans="1:33" ht="15.75" customHeight="1">
      <c r="A47" s="21">
        <v>38</v>
      </c>
      <c r="B47" s="66">
        <f>+'PERIODO 01'!B47</f>
        <v>0</v>
      </c>
      <c r="C47" s="51"/>
      <c r="D47" s="52"/>
      <c r="E47" s="53"/>
      <c r="F47" s="53"/>
      <c r="G47" s="52"/>
      <c r="H47" s="52"/>
      <c r="I47" s="53"/>
      <c r="J47" s="53"/>
      <c r="K47" s="52"/>
      <c r="L47" s="52"/>
      <c r="M47" s="3" t="str">
        <f t="shared" si="0"/>
        <v/>
      </c>
      <c r="N47" s="3" t="str">
        <f t="shared" si="1"/>
        <v xml:space="preserve"> </v>
      </c>
      <c r="O47" s="3" t="str">
        <f t="shared" si="2"/>
        <v/>
      </c>
      <c r="P47" s="3" t="str">
        <f t="shared" si="3"/>
        <v/>
      </c>
      <c r="Q47" s="3" t="str">
        <f t="shared" si="4"/>
        <v/>
      </c>
      <c r="R47" s="38" t="e">
        <f t="shared" si="5"/>
        <v>#DIV/0!</v>
      </c>
      <c r="S47" s="56"/>
      <c r="T47" s="57"/>
      <c r="U47" s="56"/>
      <c r="V47" s="57"/>
      <c r="W47" s="56"/>
      <c r="X47" s="40" t="e">
        <f t="shared" si="6"/>
        <v>#DIV/0!</v>
      </c>
      <c r="Y47" s="60"/>
      <c r="Z47" s="61"/>
      <c r="AA47" s="60"/>
      <c r="AB47" s="61"/>
      <c r="AC47" s="60"/>
      <c r="AD47" s="42" t="e">
        <f t="shared" si="7"/>
        <v>#DIV/0!</v>
      </c>
      <c r="AE47" s="43" t="e">
        <f t="shared" si="9"/>
        <v>#DIV/0!</v>
      </c>
      <c r="AF47" s="63"/>
      <c r="AG47" s="65" t="e">
        <f t="shared" si="8"/>
        <v>#DIV/0!</v>
      </c>
    </row>
    <row r="48" spans="1:33" ht="15.75" customHeight="1">
      <c r="A48" s="21">
        <v>39</v>
      </c>
      <c r="B48" s="66">
        <f>+'PERIODO 01'!B48</f>
        <v>0</v>
      </c>
      <c r="C48" s="51"/>
      <c r="D48" s="52"/>
      <c r="E48" s="53"/>
      <c r="F48" s="53"/>
      <c r="G48" s="52"/>
      <c r="H48" s="52"/>
      <c r="I48" s="53"/>
      <c r="J48" s="53"/>
      <c r="K48" s="52"/>
      <c r="L48" s="52"/>
      <c r="M48" s="3" t="str">
        <f t="shared" si="0"/>
        <v/>
      </c>
      <c r="N48" s="3" t="str">
        <f t="shared" si="1"/>
        <v xml:space="preserve"> </v>
      </c>
      <c r="O48" s="3" t="str">
        <f t="shared" si="2"/>
        <v/>
      </c>
      <c r="P48" s="3" t="str">
        <f t="shared" si="3"/>
        <v/>
      </c>
      <c r="Q48" s="3" t="str">
        <f t="shared" si="4"/>
        <v/>
      </c>
      <c r="R48" s="38" t="e">
        <f t="shared" si="5"/>
        <v>#DIV/0!</v>
      </c>
      <c r="S48" s="56"/>
      <c r="T48" s="57"/>
      <c r="U48" s="56"/>
      <c r="V48" s="57"/>
      <c r="W48" s="56"/>
      <c r="X48" s="40" t="e">
        <f t="shared" si="6"/>
        <v>#DIV/0!</v>
      </c>
      <c r="Y48" s="60"/>
      <c r="Z48" s="61"/>
      <c r="AA48" s="60"/>
      <c r="AB48" s="61"/>
      <c r="AC48" s="60"/>
      <c r="AD48" s="42" t="e">
        <f t="shared" si="7"/>
        <v>#DIV/0!</v>
      </c>
      <c r="AE48" s="43" t="e">
        <f t="shared" si="9"/>
        <v>#DIV/0!</v>
      </c>
      <c r="AF48" s="63"/>
      <c r="AG48" s="65" t="e">
        <f t="shared" si="8"/>
        <v>#DIV/0!</v>
      </c>
    </row>
    <row r="49" spans="1:33" ht="15.75" customHeight="1">
      <c r="A49" s="21">
        <v>40</v>
      </c>
      <c r="B49" s="66">
        <f>+'PERIODO 01'!B49</f>
        <v>0</v>
      </c>
      <c r="C49" s="51"/>
      <c r="D49" s="52"/>
      <c r="E49" s="53"/>
      <c r="F49" s="53"/>
      <c r="G49" s="52"/>
      <c r="H49" s="52"/>
      <c r="I49" s="53"/>
      <c r="J49" s="53"/>
      <c r="K49" s="52"/>
      <c r="L49" s="52"/>
      <c r="M49" s="3" t="str">
        <f t="shared" si="0"/>
        <v/>
      </c>
      <c r="N49" s="3" t="str">
        <f t="shared" si="1"/>
        <v xml:space="preserve"> </v>
      </c>
      <c r="O49" s="3" t="str">
        <f t="shared" si="2"/>
        <v/>
      </c>
      <c r="P49" s="3" t="str">
        <f t="shared" si="3"/>
        <v/>
      </c>
      <c r="Q49" s="3" t="str">
        <f t="shared" si="4"/>
        <v/>
      </c>
      <c r="R49" s="38" t="e">
        <f t="shared" si="5"/>
        <v>#DIV/0!</v>
      </c>
      <c r="S49" s="56"/>
      <c r="T49" s="57"/>
      <c r="U49" s="56"/>
      <c r="V49" s="57"/>
      <c r="W49" s="56"/>
      <c r="X49" s="40" t="e">
        <f t="shared" si="6"/>
        <v>#DIV/0!</v>
      </c>
      <c r="Y49" s="60"/>
      <c r="Z49" s="61"/>
      <c r="AA49" s="60"/>
      <c r="AB49" s="61"/>
      <c r="AC49" s="60"/>
      <c r="AD49" s="42" t="e">
        <f t="shared" si="7"/>
        <v>#DIV/0!</v>
      </c>
      <c r="AE49" s="43" t="e">
        <f t="shared" si="9"/>
        <v>#DIV/0!</v>
      </c>
      <c r="AF49" s="63"/>
      <c r="AG49" s="65" t="e">
        <f t="shared" si="8"/>
        <v>#DIV/0!</v>
      </c>
    </row>
    <row r="50" spans="1:33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44"/>
      <c r="AG50" s="44"/>
    </row>
    <row r="51" spans="1:33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5"/>
      <c r="AF51" s="44"/>
      <c r="AG51" s="44"/>
    </row>
    <row r="52" spans="1:33" ht="15.75" customHeight="1">
      <c r="A52" s="4"/>
      <c r="B52" s="6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44"/>
      <c r="AG52" s="44"/>
    </row>
    <row r="53" spans="1:3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44"/>
      <c r="AG53" s="44"/>
    </row>
    <row r="54" spans="1:33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5"/>
      <c r="AF54" s="44"/>
      <c r="AG54" s="44"/>
    </row>
    <row r="55" spans="1:33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5"/>
      <c r="AF55" s="44"/>
      <c r="AG55" s="44"/>
    </row>
    <row r="56" spans="1:33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5"/>
      <c r="AF56" s="44"/>
      <c r="AG56" s="44"/>
    </row>
    <row r="57" spans="1:33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5"/>
      <c r="AF57" s="44"/>
      <c r="AG57" s="44"/>
    </row>
    <row r="58" spans="1:33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5"/>
      <c r="AF58" s="44"/>
      <c r="AG58" s="44"/>
    </row>
    <row r="59" spans="1:33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5"/>
      <c r="AF59" s="44"/>
      <c r="AG59" s="44"/>
    </row>
    <row r="60" spans="1:33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5"/>
      <c r="AF60" s="44"/>
      <c r="AG60" s="44"/>
    </row>
    <row r="61" spans="1:33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5"/>
      <c r="AF61" s="44"/>
      <c r="AG61" s="44"/>
    </row>
    <row r="62" spans="1:33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5"/>
      <c r="AF62" s="44"/>
      <c r="AG62" s="44"/>
    </row>
    <row r="63" spans="1:3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5"/>
      <c r="AF63" s="44"/>
      <c r="AG63" s="44"/>
    </row>
    <row r="64" spans="1:33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5"/>
      <c r="AF64" s="44"/>
      <c r="AG64" s="44"/>
    </row>
    <row r="65" spans="1:33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5"/>
      <c r="AF65" s="44"/>
      <c r="AG65" s="44"/>
    </row>
    <row r="66" spans="1:33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5"/>
      <c r="AF66" s="44"/>
      <c r="AG66" s="44"/>
    </row>
    <row r="67" spans="1:33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5"/>
      <c r="AF67" s="44"/>
      <c r="AG67" s="44"/>
    </row>
    <row r="68" spans="1:33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5"/>
      <c r="AF68" s="44"/>
      <c r="AG68" s="44"/>
    </row>
    <row r="69" spans="1:33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5"/>
      <c r="AF69" s="44"/>
      <c r="AG69" s="44"/>
    </row>
    <row r="70" spans="1:33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5"/>
      <c r="AF70" s="44"/>
      <c r="AG70" s="44"/>
    </row>
    <row r="71" spans="1:33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5"/>
      <c r="AF71" s="44"/>
      <c r="AG71" s="44"/>
    </row>
    <row r="72" spans="1:33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5"/>
      <c r="AF72" s="44"/>
      <c r="AG72" s="44"/>
    </row>
    <row r="73" spans="1:3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5"/>
      <c r="AF73" s="44"/>
      <c r="AG73" s="44"/>
    </row>
    <row r="74" spans="1:33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5"/>
      <c r="AF74" s="44"/>
      <c r="AG74" s="44"/>
    </row>
    <row r="75" spans="1:33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5"/>
      <c r="AF75" s="44"/>
      <c r="AG75" s="44"/>
    </row>
    <row r="76" spans="1:33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5"/>
      <c r="AF76" s="44"/>
      <c r="AG76" s="44"/>
    </row>
    <row r="77" spans="1:33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5"/>
      <c r="AF77" s="44"/>
      <c r="AG77" s="44"/>
    </row>
    <row r="78" spans="1:33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5"/>
      <c r="AF78" s="44"/>
      <c r="AG78" s="44"/>
    </row>
    <row r="79" spans="1:33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5"/>
      <c r="AF79" s="44"/>
      <c r="AG79" s="44"/>
    </row>
    <row r="80" spans="1:33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5"/>
      <c r="AF80" s="44"/>
      <c r="AG80" s="44"/>
    </row>
    <row r="81" spans="1:33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5"/>
      <c r="AF81" s="44"/>
      <c r="AG81" s="44"/>
    </row>
    <row r="82" spans="1:33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5"/>
      <c r="AF82" s="44"/>
      <c r="AG82" s="44"/>
    </row>
    <row r="83" spans="1:3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5"/>
      <c r="AF83" s="44"/>
      <c r="AG83" s="44"/>
    </row>
    <row r="84" spans="1:33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5"/>
      <c r="AF84" s="44"/>
      <c r="AG84" s="44"/>
    </row>
    <row r="85" spans="1:33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5"/>
      <c r="AF85" s="44"/>
      <c r="AG85" s="44"/>
    </row>
    <row r="86" spans="1:33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5"/>
      <c r="AF86" s="44"/>
      <c r="AG86" s="44"/>
    </row>
    <row r="87" spans="1:33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5"/>
      <c r="AF87" s="44"/>
      <c r="AG87" s="44"/>
    </row>
    <row r="88" spans="1:33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5"/>
      <c r="AF88" s="44"/>
      <c r="AG88" s="44"/>
    </row>
    <row r="89" spans="1:33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5"/>
      <c r="AF89" s="44"/>
      <c r="AG89" s="44"/>
    </row>
    <row r="90" spans="1:33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5"/>
      <c r="AF90" s="44"/>
      <c r="AG90" s="44"/>
    </row>
    <row r="91" spans="1:33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5"/>
      <c r="AF91" s="44"/>
      <c r="AG91" s="44"/>
    </row>
    <row r="92" spans="1:33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5"/>
      <c r="AF92" s="44"/>
      <c r="AG92" s="44"/>
    </row>
    <row r="93" spans="1:3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5"/>
      <c r="AF93" s="44"/>
      <c r="AG93" s="44"/>
    </row>
    <row r="94" spans="1:33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5"/>
      <c r="AF94" s="44"/>
      <c r="AG94" s="44"/>
    </row>
    <row r="95" spans="1:33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5"/>
      <c r="AF95" s="44"/>
      <c r="AG95" s="44"/>
    </row>
    <row r="96" spans="1:33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5"/>
      <c r="AF96" s="44"/>
      <c r="AG96" s="44"/>
    </row>
    <row r="97" spans="1:33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5"/>
      <c r="AF97" s="44"/>
      <c r="AG97" s="44"/>
    </row>
    <row r="98" spans="1:33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5"/>
      <c r="AF98" s="44"/>
      <c r="AG98" s="44"/>
    </row>
    <row r="99" spans="1:33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5"/>
      <c r="AF99" s="44"/>
      <c r="AG99" s="44"/>
    </row>
    <row r="100" spans="1:33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5"/>
      <c r="AF100" s="44"/>
      <c r="AG100" s="44"/>
    </row>
    <row r="101" spans="1:33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5"/>
      <c r="AF101" s="44"/>
      <c r="AG101" s="44"/>
    </row>
    <row r="102" spans="1:33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5"/>
      <c r="AF102" s="44"/>
      <c r="AG102" s="44"/>
    </row>
    <row r="103" spans="1:3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5"/>
      <c r="AF103" s="44"/>
      <c r="AG103" s="44"/>
    </row>
    <row r="104" spans="1:33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5"/>
      <c r="AF104" s="44"/>
      <c r="AG104" s="44"/>
    </row>
    <row r="105" spans="1:33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5"/>
      <c r="AF105" s="44"/>
      <c r="AG105" s="44"/>
    </row>
    <row r="106" spans="1:33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5"/>
      <c r="AF106" s="44"/>
      <c r="AG106" s="44"/>
    </row>
    <row r="107" spans="1:33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5"/>
      <c r="AF107" s="44"/>
      <c r="AG107" s="44"/>
    </row>
    <row r="108" spans="1:33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5"/>
      <c r="AF108" s="44"/>
      <c r="AG108" s="44"/>
    </row>
    <row r="109" spans="1:33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5"/>
      <c r="AF109" s="44"/>
      <c r="AG109" s="44"/>
    </row>
    <row r="110" spans="1:33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5"/>
      <c r="AF110" s="44"/>
      <c r="AG110" s="44"/>
    </row>
    <row r="111" spans="1:33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5"/>
      <c r="AF111" s="44"/>
      <c r="AG111" s="44"/>
    </row>
    <row r="112" spans="1:33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5"/>
      <c r="AF112" s="44"/>
      <c r="AG112" s="44"/>
    </row>
    <row r="113" spans="1:3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5"/>
      <c r="AF113" s="44"/>
      <c r="AG113" s="44"/>
    </row>
    <row r="114" spans="1:33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5"/>
      <c r="AF114" s="44"/>
      <c r="AG114" s="44"/>
    </row>
    <row r="115" spans="1:33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5"/>
      <c r="AF115" s="44"/>
      <c r="AG115" s="44"/>
    </row>
    <row r="116" spans="1:33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5"/>
      <c r="AF116" s="44"/>
      <c r="AG116" s="44"/>
    </row>
    <row r="117" spans="1:33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5"/>
      <c r="AF117" s="44"/>
      <c r="AG117" s="44"/>
    </row>
    <row r="118" spans="1:33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5"/>
      <c r="AF118" s="44"/>
      <c r="AG118" s="44"/>
    </row>
    <row r="119" spans="1:33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5"/>
      <c r="AF119" s="44"/>
      <c r="AG119" s="44"/>
    </row>
    <row r="120" spans="1:33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5"/>
      <c r="AF120" s="44"/>
      <c r="AG120" s="44"/>
    </row>
    <row r="121" spans="1:33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5"/>
      <c r="AF121" s="44"/>
      <c r="AG121" s="44"/>
    </row>
    <row r="122" spans="1:33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5"/>
      <c r="AF122" s="44"/>
      <c r="AG122" s="44"/>
    </row>
    <row r="123" spans="1:3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5"/>
      <c r="AF123" s="44"/>
      <c r="AG123" s="44"/>
    </row>
    <row r="124" spans="1:33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5"/>
      <c r="AF124" s="44"/>
      <c r="AG124" s="44"/>
    </row>
    <row r="125" spans="1:33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5"/>
      <c r="AF125" s="44"/>
      <c r="AG125" s="44"/>
    </row>
    <row r="126" spans="1:33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5"/>
      <c r="AF126" s="44"/>
      <c r="AG126" s="44"/>
    </row>
    <row r="127" spans="1:33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5"/>
      <c r="AF127" s="44"/>
      <c r="AG127" s="44"/>
    </row>
    <row r="128" spans="1:33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5"/>
      <c r="AF128" s="44"/>
      <c r="AG128" s="44"/>
    </row>
    <row r="129" spans="1:33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5"/>
      <c r="AF129" s="44"/>
      <c r="AG129" s="44"/>
    </row>
    <row r="130" spans="1:33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5"/>
      <c r="AF130" s="44"/>
      <c r="AG130" s="44"/>
    </row>
    <row r="131" spans="1:33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5"/>
      <c r="AF131" s="44"/>
      <c r="AG131" s="44"/>
    </row>
    <row r="132" spans="1:33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5"/>
      <c r="AF132" s="44"/>
      <c r="AG132" s="44"/>
    </row>
    <row r="133" spans="1: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5"/>
      <c r="AF133" s="44"/>
      <c r="AG133" s="44"/>
    </row>
    <row r="134" spans="1:33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5"/>
      <c r="AF134" s="44"/>
      <c r="AG134" s="44"/>
    </row>
    <row r="135" spans="1:33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5"/>
      <c r="AF135" s="44"/>
      <c r="AG135" s="44"/>
    </row>
    <row r="136" spans="1:33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5"/>
      <c r="AF136" s="44"/>
      <c r="AG136" s="44"/>
    </row>
    <row r="137" spans="1:33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5"/>
      <c r="AF137" s="44"/>
      <c r="AG137" s="44"/>
    </row>
    <row r="138" spans="1:33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5"/>
      <c r="AF138" s="44"/>
      <c r="AG138" s="44"/>
    </row>
    <row r="139" spans="1:33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5"/>
      <c r="AF139" s="44"/>
      <c r="AG139" s="44"/>
    </row>
    <row r="140" spans="1:33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5"/>
      <c r="AF140" s="44"/>
      <c r="AG140" s="44"/>
    </row>
    <row r="141" spans="1:33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5"/>
      <c r="AF141" s="44"/>
      <c r="AG141" s="44"/>
    </row>
    <row r="142" spans="1:33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5"/>
      <c r="AF142" s="44"/>
      <c r="AG142" s="44"/>
    </row>
    <row r="143" spans="1:3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5"/>
      <c r="AF143" s="44"/>
      <c r="AG143" s="44"/>
    </row>
    <row r="144" spans="1:33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5"/>
      <c r="AF144" s="44"/>
      <c r="AG144" s="44"/>
    </row>
    <row r="145" spans="1:33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5"/>
      <c r="AF145" s="44"/>
      <c r="AG145" s="44"/>
    </row>
    <row r="146" spans="1:33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5"/>
      <c r="AF146" s="44"/>
      <c r="AG146" s="44"/>
    </row>
    <row r="147" spans="1:33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5"/>
      <c r="AF147" s="44"/>
      <c r="AG147" s="44"/>
    </row>
    <row r="148" spans="1:33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5"/>
      <c r="AF148" s="44"/>
      <c r="AG148" s="44"/>
    </row>
    <row r="149" spans="1:33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5"/>
      <c r="AF149" s="44"/>
      <c r="AG149" s="44"/>
    </row>
    <row r="150" spans="1:33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5"/>
      <c r="AF150" s="44"/>
      <c r="AG150" s="44"/>
    </row>
    <row r="151" spans="1:33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5"/>
      <c r="AF151" s="44"/>
      <c r="AG151" s="44"/>
    </row>
    <row r="152" spans="1:33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5"/>
      <c r="AF152" s="44"/>
      <c r="AG152" s="44"/>
    </row>
    <row r="153" spans="1:3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5"/>
      <c r="AF153" s="44"/>
      <c r="AG153" s="44"/>
    </row>
    <row r="154" spans="1:33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5"/>
      <c r="AF154" s="44"/>
      <c r="AG154" s="44"/>
    </row>
    <row r="155" spans="1:33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5"/>
      <c r="AF155" s="44"/>
      <c r="AG155" s="44"/>
    </row>
    <row r="156" spans="1:33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5"/>
      <c r="AF156" s="44"/>
      <c r="AG156" s="44"/>
    </row>
    <row r="157" spans="1:33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5"/>
      <c r="AF157" s="44"/>
      <c r="AG157" s="44"/>
    </row>
    <row r="158" spans="1:33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5"/>
      <c r="AF158" s="44"/>
      <c r="AG158" s="44"/>
    </row>
    <row r="159" spans="1:33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5"/>
      <c r="AF159" s="44"/>
      <c r="AG159" s="44"/>
    </row>
    <row r="160" spans="1:33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5"/>
      <c r="AF160" s="44"/>
      <c r="AG160" s="44"/>
    </row>
    <row r="161" spans="1:33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5"/>
      <c r="AF161" s="44"/>
      <c r="AG161" s="44"/>
    </row>
    <row r="162" spans="1:33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5"/>
      <c r="AF162" s="44"/>
      <c r="AG162" s="44"/>
    </row>
    <row r="163" spans="1:3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5"/>
      <c r="AF163" s="44"/>
      <c r="AG163" s="44"/>
    </row>
    <row r="164" spans="1:33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5"/>
      <c r="AF164" s="44"/>
      <c r="AG164" s="44"/>
    </row>
    <row r="165" spans="1:33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5"/>
      <c r="AF165" s="44"/>
      <c r="AG165" s="44"/>
    </row>
    <row r="166" spans="1:33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5"/>
      <c r="AF166" s="44"/>
      <c r="AG166" s="44"/>
    </row>
    <row r="167" spans="1:33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5"/>
      <c r="AF167" s="44"/>
      <c r="AG167" s="44"/>
    </row>
    <row r="168" spans="1:33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5"/>
      <c r="AF168" s="44"/>
      <c r="AG168" s="44"/>
    </row>
    <row r="169" spans="1:33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5"/>
      <c r="AF169" s="44"/>
      <c r="AG169" s="44"/>
    </row>
    <row r="170" spans="1:33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5"/>
      <c r="AF170" s="44"/>
      <c r="AG170" s="44"/>
    </row>
    <row r="171" spans="1:33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5"/>
      <c r="AF171" s="44"/>
      <c r="AG171" s="44"/>
    </row>
    <row r="172" spans="1:33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5"/>
      <c r="AF172" s="44"/>
      <c r="AG172" s="44"/>
    </row>
    <row r="173" spans="1:3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5"/>
      <c r="AF173" s="44"/>
      <c r="AG173" s="44"/>
    </row>
    <row r="174" spans="1:33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5"/>
      <c r="AF174" s="44"/>
      <c r="AG174" s="44"/>
    </row>
    <row r="175" spans="1:33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5"/>
      <c r="AF175" s="44"/>
      <c r="AG175" s="44"/>
    </row>
    <row r="176" spans="1:33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5"/>
      <c r="AF176" s="44"/>
      <c r="AG176" s="44"/>
    </row>
    <row r="177" spans="1:33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5"/>
      <c r="AF177" s="44"/>
      <c r="AG177" s="44"/>
    </row>
    <row r="178" spans="1:33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5"/>
      <c r="AF178" s="44"/>
      <c r="AG178" s="44"/>
    </row>
    <row r="179" spans="1:33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5"/>
      <c r="AF179" s="44"/>
      <c r="AG179" s="44"/>
    </row>
    <row r="180" spans="1:33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5"/>
      <c r="AF180" s="44"/>
      <c r="AG180" s="44"/>
    </row>
    <row r="181" spans="1:33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5"/>
      <c r="AF181" s="44"/>
      <c r="AG181" s="44"/>
    </row>
    <row r="182" spans="1:33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5"/>
      <c r="AF182" s="44"/>
      <c r="AG182" s="44"/>
    </row>
    <row r="183" spans="1:3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5"/>
      <c r="AF183" s="44"/>
      <c r="AG183" s="44"/>
    </row>
    <row r="184" spans="1:33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5"/>
      <c r="AF184" s="44"/>
      <c r="AG184" s="44"/>
    </row>
    <row r="185" spans="1:33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5"/>
      <c r="AF185" s="44"/>
      <c r="AG185" s="44"/>
    </row>
    <row r="186" spans="1:33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5"/>
      <c r="AF186" s="44"/>
      <c r="AG186" s="44"/>
    </row>
    <row r="187" spans="1:33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5"/>
      <c r="AF187" s="44"/>
      <c r="AG187" s="44"/>
    </row>
    <row r="188" spans="1:33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5"/>
      <c r="AF188" s="44"/>
      <c r="AG188" s="44"/>
    </row>
    <row r="189" spans="1:33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5"/>
      <c r="AF189" s="44"/>
      <c r="AG189" s="44"/>
    </row>
    <row r="190" spans="1:33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5"/>
      <c r="AF190" s="44"/>
      <c r="AG190" s="44"/>
    </row>
    <row r="191" spans="1:33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5"/>
      <c r="AF191" s="44"/>
      <c r="AG191" s="44"/>
    </row>
    <row r="192" spans="1:33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5"/>
      <c r="AF192" s="44"/>
      <c r="AG192" s="44"/>
    </row>
    <row r="193" spans="1:3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5"/>
      <c r="AF193" s="44"/>
      <c r="AG193" s="44"/>
    </row>
    <row r="194" spans="1:33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5"/>
      <c r="AF194" s="44"/>
      <c r="AG194" s="44"/>
    </row>
    <row r="195" spans="1:33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5"/>
      <c r="AF195" s="44"/>
      <c r="AG195" s="44"/>
    </row>
    <row r="196" spans="1:33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5"/>
      <c r="AF196" s="44"/>
      <c r="AG196" s="44"/>
    </row>
    <row r="197" spans="1:33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5"/>
      <c r="AF197" s="44"/>
      <c r="AG197" s="44"/>
    </row>
    <row r="198" spans="1:33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5"/>
      <c r="AF198" s="44"/>
      <c r="AG198" s="44"/>
    </row>
    <row r="199" spans="1:33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5"/>
      <c r="AF199" s="44"/>
      <c r="AG199" s="44"/>
    </row>
    <row r="200" spans="1:33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5"/>
      <c r="AF200" s="44"/>
      <c r="AG200" s="44"/>
    </row>
    <row r="201" spans="1:33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5"/>
      <c r="AF201" s="44"/>
      <c r="AG201" s="44"/>
    </row>
    <row r="202" spans="1:33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5"/>
      <c r="AF202" s="44"/>
      <c r="AG202" s="44"/>
    </row>
    <row r="203" spans="1:3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5"/>
      <c r="AF203" s="44"/>
      <c r="AG203" s="44"/>
    </row>
    <row r="204" spans="1:33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5"/>
      <c r="AF204" s="44"/>
      <c r="AG204" s="44"/>
    </row>
    <row r="205" spans="1:33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5"/>
      <c r="AF205" s="44"/>
      <c r="AG205" s="44"/>
    </row>
    <row r="206" spans="1:33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5"/>
      <c r="AF206" s="44"/>
      <c r="AG206" s="44"/>
    </row>
    <row r="207" spans="1:33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5"/>
      <c r="AF207" s="44"/>
      <c r="AG207" s="44"/>
    </row>
    <row r="208" spans="1:33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5"/>
      <c r="AF208" s="44"/>
      <c r="AG208" s="44"/>
    </row>
    <row r="209" spans="1:33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5"/>
      <c r="AF209" s="44"/>
      <c r="AG209" s="44"/>
    </row>
    <row r="210" spans="1:33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5"/>
      <c r="AF210" s="44"/>
      <c r="AG210" s="44"/>
    </row>
    <row r="211" spans="1:33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5"/>
      <c r="AF211" s="44"/>
      <c r="AG211" s="44"/>
    </row>
    <row r="212" spans="1:33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5"/>
      <c r="AF212" s="44"/>
      <c r="AG212" s="44"/>
    </row>
    <row r="213" spans="1:3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5"/>
      <c r="AF213" s="44"/>
      <c r="AG213" s="44"/>
    </row>
    <row r="214" spans="1:33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5"/>
      <c r="AF214" s="44"/>
      <c r="AG214" s="44"/>
    </row>
    <row r="215" spans="1:33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5"/>
      <c r="AF215" s="44"/>
      <c r="AG215" s="44"/>
    </row>
    <row r="216" spans="1:33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5"/>
      <c r="AF216" s="44"/>
      <c r="AG216" s="44"/>
    </row>
    <row r="217" spans="1:33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5"/>
      <c r="AF217" s="44"/>
      <c r="AG217" s="44"/>
    </row>
    <row r="218" spans="1:33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5"/>
      <c r="AF218" s="44"/>
      <c r="AG218" s="44"/>
    </row>
    <row r="219" spans="1:33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5"/>
      <c r="AF219" s="44"/>
      <c r="AG219" s="44"/>
    </row>
    <row r="220" spans="1:33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5"/>
      <c r="AF220" s="44"/>
      <c r="AG220" s="44"/>
    </row>
    <row r="221" spans="1:33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5"/>
      <c r="AF221" s="44"/>
      <c r="AG221" s="44"/>
    </row>
    <row r="222" spans="1:33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5"/>
      <c r="AF222" s="44"/>
      <c r="AG222" s="44"/>
    </row>
    <row r="223" spans="1:3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5"/>
      <c r="AF223" s="44"/>
      <c r="AG223" s="44"/>
    </row>
    <row r="224" spans="1:33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5"/>
      <c r="AF224" s="44"/>
      <c r="AG224" s="44"/>
    </row>
    <row r="225" spans="1:33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5"/>
      <c r="AF225" s="44"/>
      <c r="AG225" s="44"/>
    </row>
    <row r="226" spans="1:33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5"/>
      <c r="AF226" s="44"/>
      <c r="AG226" s="44"/>
    </row>
    <row r="227" spans="1:33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5"/>
      <c r="AF227" s="44"/>
      <c r="AG227" s="44"/>
    </row>
    <row r="228" spans="1:33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5"/>
      <c r="AF228" s="44"/>
      <c r="AG228" s="44"/>
    </row>
    <row r="229" spans="1:33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5"/>
      <c r="AF229" s="44"/>
      <c r="AG229" s="44"/>
    </row>
    <row r="230" spans="1:33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5"/>
      <c r="AF230" s="44"/>
      <c r="AG230" s="44"/>
    </row>
    <row r="231" spans="1:33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5"/>
      <c r="AF231" s="44"/>
      <c r="AG231" s="44"/>
    </row>
    <row r="232" spans="1:33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5"/>
      <c r="AF232" s="44"/>
      <c r="AG232" s="44"/>
    </row>
    <row r="233" spans="1: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5"/>
      <c r="AF233" s="44"/>
      <c r="AG233" s="44"/>
    </row>
    <row r="234" spans="1:33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5"/>
      <c r="AF234" s="44"/>
      <c r="AG234" s="44"/>
    </row>
    <row r="235" spans="1:33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5"/>
      <c r="AF235" s="44"/>
      <c r="AG235" s="44"/>
    </row>
    <row r="236" spans="1:33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5"/>
      <c r="AF236" s="44"/>
      <c r="AG236" s="44"/>
    </row>
    <row r="237" spans="1:33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5"/>
      <c r="AF237" s="44"/>
      <c r="AG237" s="44"/>
    </row>
    <row r="238" spans="1:33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5"/>
      <c r="AF238" s="44"/>
      <c r="AG238" s="44"/>
    </row>
    <row r="239" spans="1:33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5"/>
      <c r="AF239" s="44"/>
      <c r="AG239" s="44"/>
    </row>
    <row r="240" spans="1:33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5"/>
      <c r="AF240" s="44"/>
      <c r="AG240" s="44"/>
    </row>
    <row r="241" spans="1:33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5"/>
      <c r="AF241" s="44"/>
      <c r="AG241" s="44"/>
    </row>
    <row r="242" spans="1:33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5"/>
      <c r="AF242" s="44"/>
      <c r="AG242" s="44"/>
    </row>
    <row r="243" spans="1:3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5"/>
      <c r="AF243" s="44"/>
      <c r="AG243" s="44"/>
    </row>
    <row r="244" spans="1:33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5"/>
      <c r="AF244" s="44"/>
      <c r="AG244" s="44"/>
    </row>
    <row r="245" spans="1:33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5"/>
      <c r="AF245" s="44"/>
      <c r="AG245" s="44"/>
    </row>
    <row r="246" spans="1:33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5"/>
      <c r="AF246" s="44"/>
      <c r="AG246" s="44"/>
    </row>
    <row r="247" spans="1:33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5"/>
      <c r="AF247" s="44"/>
      <c r="AG247" s="44"/>
    </row>
    <row r="248" spans="1:33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5"/>
      <c r="AF248" s="44"/>
      <c r="AG248" s="44"/>
    </row>
    <row r="249" spans="1:33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5"/>
      <c r="AF249" s="44"/>
      <c r="AG249" s="44"/>
    </row>
    <row r="250" spans="1:33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5"/>
      <c r="AF250" s="44"/>
      <c r="AG250" s="44"/>
    </row>
    <row r="251" spans="1:33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5"/>
      <c r="AF251" s="44"/>
      <c r="AG251" s="44"/>
    </row>
    <row r="252" spans="1:33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5"/>
      <c r="AF252" s="44"/>
      <c r="AG252" s="44"/>
    </row>
    <row r="253" spans="1:3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5"/>
      <c r="AF253" s="44"/>
      <c r="AG253" s="44"/>
    </row>
    <row r="254" spans="1:33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5"/>
      <c r="AF254" s="44"/>
      <c r="AG254" s="44"/>
    </row>
    <row r="255" spans="1:33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5"/>
      <c r="AF255" s="44"/>
      <c r="AG255" s="44"/>
    </row>
    <row r="256" spans="1:33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5"/>
      <c r="AF256" s="44"/>
      <c r="AG256" s="44"/>
    </row>
    <row r="257" spans="1:33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5"/>
      <c r="AF257" s="44"/>
      <c r="AG257" s="44"/>
    </row>
    <row r="258" spans="1:33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5"/>
      <c r="AF258" s="44"/>
      <c r="AG258" s="44"/>
    </row>
    <row r="259" spans="1:33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5"/>
      <c r="AF259" s="44"/>
      <c r="AG259" s="44"/>
    </row>
    <row r="260" spans="1:33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5"/>
      <c r="AF260" s="44"/>
      <c r="AG260" s="44"/>
    </row>
    <row r="261" spans="1:33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5"/>
      <c r="AF261" s="44"/>
      <c r="AG261" s="44"/>
    </row>
    <row r="262" spans="1:33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5"/>
      <c r="AF262" s="44"/>
      <c r="AG262" s="44"/>
    </row>
    <row r="263" spans="1:3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5"/>
      <c r="AF263" s="44"/>
      <c r="AG263" s="44"/>
    </row>
    <row r="264" spans="1:33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5"/>
      <c r="AF264" s="44"/>
      <c r="AG264" s="44"/>
    </row>
    <row r="265" spans="1:33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5"/>
      <c r="AF265" s="44"/>
      <c r="AG265" s="44"/>
    </row>
    <row r="266" spans="1:33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5"/>
      <c r="AF266" s="44"/>
      <c r="AG266" s="44"/>
    </row>
    <row r="267" spans="1:33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5"/>
      <c r="AF267" s="44"/>
      <c r="AG267" s="44"/>
    </row>
    <row r="268" spans="1:33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5"/>
      <c r="AF268" s="44"/>
      <c r="AG268" s="44"/>
    </row>
    <row r="269" spans="1:33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5"/>
      <c r="AF269" s="44"/>
      <c r="AG269" s="44"/>
    </row>
    <row r="270" spans="1:33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5"/>
      <c r="AF270" s="44"/>
      <c r="AG270" s="44"/>
    </row>
    <row r="271" spans="1:33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5"/>
      <c r="AF271" s="44"/>
      <c r="AG271" s="44"/>
    </row>
    <row r="272" spans="1:33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5"/>
      <c r="AF272" s="44"/>
      <c r="AG272" s="44"/>
    </row>
    <row r="273" spans="1:3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5"/>
      <c r="AF273" s="44"/>
      <c r="AG273" s="44"/>
    </row>
    <row r="274" spans="1:33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5"/>
      <c r="AF274" s="44"/>
      <c r="AG274" s="44"/>
    </row>
    <row r="275" spans="1:33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5"/>
      <c r="AF275" s="44"/>
      <c r="AG275" s="44"/>
    </row>
    <row r="276" spans="1:33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5"/>
      <c r="AF276" s="44"/>
      <c r="AG276" s="44"/>
    </row>
    <row r="277" spans="1:33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5"/>
      <c r="AF277" s="44"/>
      <c r="AG277" s="44"/>
    </row>
    <row r="278" spans="1:33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5"/>
      <c r="AF278" s="44"/>
      <c r="AG278" s="44"/>
    </row>
    <row r="279" spans="1:33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5"/>
      <c r="AF279" s="44"/>
      <c r="AG279" s="44"/>
    </row>
    <row r="280" spans="1:33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5"/>
      <c r="AF280" s="44"/>
      <c r="AG280" s="44"/>
    </row>
    <row r="281" spans="1:33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5"/>
      <c r="AF281" s="44"/>
      <c r="AG281" s="44"/>
    </row>
    <row r="282" spans="1:33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5"/>
      <c r="AF282" s="44"/>
      <c r="AG282" s="44"/>
    </row>
    <row r="283" spans="1:3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5"/>
      <c r="AF283" s="44"/>
      <c r="AG283" s="44"/>
    </row>
    <row r="284" spans="1:33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5"/>
      <c r="AF284" s="44"/>
      <c r="AG284" s="44"/>
    </row>
    <row r="285" spans="1:33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5"/>
      <c r="AF285" s="44"/>
      <c r="AG285" s="44"/>
    </row>
    <row r="286" spans="1:33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5"/>
      <c r="AF286" s="44"/>
      <c r="AG286" s="44"/>
    </row>
    <row r="287" spans="1:33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5"/>
      <c r="AF287" s="44"/>
      <c r="AG287" s="44"/>
    </row>
    <row r="288" spans="1:33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5"/>
      <c r="AF288" s="44"/>
      <c r="AG288" s="44"/>
    </row>
    <row r="289" spans="1:33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5"/>
      <c r="AF289" s="44"/>
      <c r="AG289" s="44"/>
    </row>
    <row r="290" spans="1:33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5"/>
      <c r="AF290" s="44"/>
      <c r="AG290" s="44"/>
    </row>
    <row r="291" spans="1:33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5"/>
      <c r="AF291" s="44"/>
      <c r="AG291" s="44"/>
    </row>
    <row r="292" spans="1:33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5"/>
      <c r="AF292" s="44"/>
      <c r="AG292" s="44"/>
    </row>
    <row r="293" spans="1:3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5"/>
      <c r="AF293" s="44"/>
      <c r="AG293" s="44"/>
    </row>
    <row r="294" spans="1:33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5"/>
      <c r="AF294" s="44"/>
      <c r="AG294" s="44"/>
    </row>
    <row r="295" spans="1:33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5"/>
      <c r="AF295" s="44"/>
      <c r="AG295" s="44"/>
    </row>
    <row r="296" spans="1:33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5"/>
      <c r="AF296" s="44"/>
      <c r="AG296" s="44"/>
    </row>
    <row r="297" spans="1:33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5"/>
      <c r="AF297" s="44"/>
      <c r="AG297" s="44"/>
    </row>
    <row r="298" spans="1:33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5"/>
      <c r="AF298" s="44"/>
      <c r="AG298" s="44"/>
    </row>
    <row r="299" spans="1:33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5"/>
      <c r="AF299" s="44"/>
      <c r="AG299" s="44"/>
    </row>
    <row r="300" spans="1:33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5"/>
      <c r="AF300" s="44"/>
      <c r="AG300" s="44"/>
    </row>
    <row r="301" spans="1:33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5"/>
      <c r="AF301" s="44"/>
      <c r="AG301" s="44"/>
    </row>
    <row r="302" spans="1:33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5"/>
      <c r="AF302" s="44"/>
      <c r="AG302" s="44"/>
    </row>
    <row r="303" spans="1:3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5"/>
      <c r="AF303" s="44"/>
      <c r="AG303" s="44"/>
    </row>
    <row r="304" spans="1:33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5"/>
      <c r="AF304" s="44"/>
      <c r="AG304" s="44"/>
    </row>
    <row r="305" spans="1:33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5"/>
      <c r="AF305" s="44"/>
      <c r="AG305" s="44"/>
    </row>
    <row r="306" spans="1:33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5"/>
      <c r="AF306" s="44"/>
      <c r="AG306" s="44"/>
    </row>
    <row r="307" spans="1:33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5"/>
      <c r="AF307" s="44"/>
      <c r="AG307" s="44"/>
    </row>
    <row r="308" spans="1:33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5"/>
      <c r="AF308" s="44"/>
      <c r="AG308" s="44"/>
    </row>
    <row r="309" spans="1:33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5"/>
      <c r="AF309" s="44"/>
      <c r="AG309" s="44"/>
    </row>
    <row r="310" spans="1:33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5"/>
      <c r="AF310" s="44"/>
      <c r="AG310" s="44"/>
    </row>
    <row r="311" spans="1:33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5"/>
      <c r="AF311" s="44"/>
      <c r="AG311" s="44"/>
    </row>
    <row r="312" spans="1:33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5"/>
      <c r="AF312" s="44"/>
      <c r="AG312" s="44"/>
    </row>
    <row r="313" spans="1:3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5"/>
      <c r="AF313" s="44"/>
      <c r="AG313" s="44"/>
    </row>
    <row r="314" spans="1:33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5"/>
      <c r="AF314" s="44"/>
      <c r="AG314" s="44"/>
    </row>
    <row r="315" spans="1:33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5"/>
      <c r="AF315" s="44"/>
      <c r="AG315" s="44"/>
    </row>
    <row r="316" spans="1:33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5"/>
      <c r="AF316" s="44"/>
      <c r="AG316" s="44"/>
    </row>
    <row r="317" spans="1:33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5"/>
      <c r="AF317" s="44"/>
      <c r="AG317" s="44"/>
    </row>
    <row r="318" spans="1:33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5"/>
      <c r="AF318" s="44"/>
      <c r="AG318" s="44"/>
    </row>
    <row r="319" spans="1:33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5"/>
      <c r="AF319" s="44"/>
      <c r="AG319" s="44"/>
    </row>
    <row r="320" spans="1:33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5"/>
      <c r="AF320" s="44"/>
      <c r="AG320" s="44"/>
    </row>
    <row r="321" spans="1:33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5"/>
      <c r="AF321" s="44"/>
      <c r="AG321" s="44"/>
    </row>
    <row r="322" spans="1:33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5"/>
      <c r="AF322" s="44"/>
      <c r="AG322" s="44"/>
    </row>
    <row r="323" spans="1:3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5"/>
      <c r="AF323" s="44"/>
      <c r="AG323" s="44"/>
    </row>
    <row r="324" spans="1:33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5"/>
      <c r="AF324" s="44"/>
      <c r="AG324" s="44"/>
    </row>
    <row r="325" spans="1:33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5"/>
      <c r="AF325" s="44"/>
      <c r="AG325" s="44"/>
    </row>
    <row r="326" spans="1:33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5"/>
      <c r="AF326" s="44"/>
      <c r="AG326" s="44"/>
    </row>
    <row r="327" spans="1:33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5"/>
      <c r="AF327" s="44"/>
      <c r="AG327" s="44"/>
    </row>
    <row r="328" spans="1:33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5"/>
      <c r="AF328" s="44"/>
      <c r="AG328" s="44"/>
    </row>
    <row r="329" spans="1:33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5"/>
      <c r="AF329" s="44"/>
      <c r="AG329" s="44"/>
    </row>
    <row r="330" spans="1:33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5"/>
      <c r="AF330" s="44"/>
      <c r="AG330" s="44"/>
    </row>
    <row r="331" spans="1:33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5"/>
      <c r="AF331" s="44"/>
      <c r="AG331" s="44"/>
    </row>
    <row r="332" spans="1:33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5"/>
      <c r="AF332" s="44"/>
      <c r="AG332" s="44"/>
    </row>
    <row r="333" spans="1: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5"/>
      <c r="AF333" s="44"/>
      <c r="AG333" s="44"/>
    </row>
    <row r="334" spans="1:33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5"/>
      <c r="AF334" s="44"/>
      <c r="AG334" s="44"/>
    </row>
    <row r="335" spans="1:33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5"/>
      <c r="AF335" s="44"/>
      <c r="AG335" s="44"/>
    </row>
    <row r="336" spans="1:33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5"/>
      <c r="AF336" s="44"/>
      <c r="AG336" s="44"/>
    </row>
    <row r="337" spans="1:33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5"/>
      <c r="AF337" s="44"/>
      <c r="AG337" s="44"/>
    </row>
    <row r="338" spans="1:33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5"/>
      <c r="AF338" s="44"/>
      <c r="AG338" s="44"/>
    </row>
    <row r="339" spans="1:33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5"/>
      <c r="AF339" s="44"/>
      <c r="AG339" s="44"/>
    </row>
    <row r="340" spans="1:33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5"/>
      <c r="AF340" s="44"/>
      <c r="AG340" s="44"/>
    </row>
    <row r="341" spans="1:33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5"/>
      <c r="AF341" s="44"/>
      <c r="AG341" s="44"/>
    </row>
    <row r="342" spans="1:33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5"/>
      <c r="AF342" s="44"/>
      <c r="AG342" s="44"/>
    </row>
    <row r="343" spans="1:3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5"/>
      <c r="AF343" s="44"/>
      <c r="AG343" s="44"/>
    </row>
    <row r="344" spans="1:33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5"/>
      <c r="AF344" s="44"/>
      <c r="AG344" s="44"/>
    </row>
    <row r="345" spans="1:33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5"/>
      <c r="AF345" s="44"/>
      <c r="AG345" s="44"/>
    </row>
    <row r="346" spans="1:33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5"/>
      <c r="AF346" s="44"/>
      <c r="AG346" s="44"/>
    </row>
    <row r="347" spans="1:33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5"/>
      <c r="AF347" s="44"/>
      <c r="AG347" s="44"/>
    </row>
    <row r="348" spans="1:33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5"/>
      <c r="AF348" s="44"/>
      <c r="AG348" s="44"/>
    </row>
    <row r="349" spans="1:33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5"/>
      <c r="AF349" s="44"/>
      <c r="AG349" s="44"/>
    </row>
    <row r="350" spans="1:33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5"/>
      <c r="AF350" s="44"/>
      <c r="AG350" s="44"/>
    </row>
    <row r="351" spans="1:33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5"/>
      <c r="AF351" s="44"/>
      <c r="AG351" s="44"/>
    </row>
    <row r="352" spans="1:33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5"/>
      <c r="AF352" s="44"/>
      <c r="AG352" s="44"/>
    </row>
    <row r="353" spans="1:3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5"/>
      <c r="AF353" s="44"/>
      <c r="AG353" s="44"/>
    </row>
    <row r="354" spans="1:33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5"/>
      <c r="AF354" s="44"/>
      <c r="AG354" s="44"/>
    </row>
    <row r="355" spans="1:33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5"/>
      <c r="AF355" s="44"/>
      <c r="AG355" s="44"/>
    </row>
    <row r="356" spans="1:33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5"/>
      <c r="AF356" s="44"/>
      <c r="AG356" s="44"/>
    </row>
    <row r="357" spans="1:33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5"/>
      <c r="AF357" s="44"/>
      <c r="AG357" s="44"/>
    </row>
    <row r="358" spans="1:33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5"/>
      <c r="AF358" s="44"/>
      <c r="AG358" s="44"/>
    </row>
    <row r="359" spans="1:33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5"/>
      <c r="AF359" s="44"/>
      <c r="AG359" s="44"/>
    </row>
    <row r="360" spans="1:33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5"/>
      <c r="AF360" s="44"/>
      <c r="AG360" s="44"/>
    </row>
    <row r="361" spans="1:33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5"/>
      <c r="AF361" s="44"/>
      <c r="AG361" s="44"/>
    </row>
    <row r="362" spans="1:33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5"/>
      <c r="AF362" s="44"/>
      <c r="AG362" s="44"/>
    </row>
    <row r="363" spans="1:3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5"/>
      <c r="AF363" s="44"/>
      <c r="AG363" s="44"/>
    </row>
    <row r="364" spans="1:33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5"/>
      <c r="AF364" s="44"/>
      <c r="AG364" s="44"/>
    </row>
    <row r="365" spans="1:33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5"/>
      <c r="AF365" s="44"/>
      <c r="AG365" s="44"/>
    </row>
    <row r="366" spans="1:33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5"/>
      <c r="AF366" s="44"/>
      <c r="AG366" s="44"/>
    </row>
    <row r="367" spans="1:33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5"/>
      <c r="AF367" s="44"/>
      <c r="AG367" s="44"/>
    </row>
    <row r="368" spans="1:33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5"/>
      <c r="AF368" s="44"/>
      <c r="AG368" s="44"/>
    </row>
    <row r="369" spans="1:33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5"/>
      <c r="AF369" s="44"/>
      <c r="AG369" s="44"/>
    </row>
    <row r="370" spans="1:33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5"/>
      <c r="AF370" s="44"/>
      <c r="AG370" s="44"/>
    </row>
    <row r="371" spans="1:33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5"/>
      <c r="AF371" s="44"/>
      <c r="AG371" s="44"/>
    </row>
    <row r="372" spans="1:33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5"/>
      <c r="AF372" s="44"/>
      <c r="AG372" s="44"/>
    </row>
    <row r="373" spans="1:3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5"/>
      <c r="AF373" s="44"/>
      <c r="AG373" s="44"/>
    </row>
    <row r="374" spans="1:33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5"/>
      <c r="AF374" s="44"/>
      <c r="AG374" s="44"/>
    </row>
    <row r="375" spans="1:33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5"/>
      <c r="AF375" s="44"/>
      <c r="AG375" s="44"/>
    </row>
    <row r="376" spans="1:33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5"/>
      <c r="AF376" s="44"/>
      <c r="AG376" s="44"/>
    </row>
    <row r="377" spans="1:33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5"/>
      <c r="AF377" s="44"/>
      <c r="AG377" s="44"/>
    </row>
    <row r="378" spans="1:33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5"/>
      <c r="AF378" s="44"/>
      <c r="AG378" s="44"/>
    </row>
    <row r="379" spans="1:33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5"/>
      <c r="AF379" s="44"/>
      <c r="AG379" s="44"/>
    </row>
    <row r="380" spans="1:33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5"/>
      <c r="AF380" s="44"/>
      <c r="AG380" s="44"/>
    </row>
    <row r="381" spans="1:33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5"/>
      <c r="AF381" s="44"/>
      <c r="AG381" s="44"/>
    </row>
    <row r="382" spans="1:33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5"/>
      <c r="AF382" s="44"/>
      <c r="AG382" s="44"/>
    </row>
    <row r="383" spans="1:3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5"/>
      <c r="AF383" s="44"/>
      <c r="AG383" s="44"/>
    </row>
    <row r="384" spans="1:33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5"/>
      <c r="AF384" s="44"/>
      <c r="AG384" s="44"/>
    </row>
    <row r="385" spans="1:33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5"/>
      <c r="AF385" s="44"/>
      <c r="AG385" s="44"/>
    </row>
    <row r="386" spans="1:33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5"/>
      <c r="AF386" s="44"/>
      <c r="AG386" s="44"/>
    </row>
    <row r="387" spans="1:33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5"/>
      <c r="AF387" s="44"/>
      <c r="AG387" s="44"/>
    </row>
    <row r="388" spans="1:33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5"/>
      <c r="AF388" s="44"/>
      <c r="AG388" s="44"/>
    </row>
    <row r="389" spans="1:33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5"/>
      <c r="AF389" s="44"/>
      <c r="AG389" s="44"/>
    </row>
    <row r="390" spans="1:33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5"/>
      <c r="AF390" s="44"/>
      <c r="AG390" s="44"/>
    </row>
    <row r="391" spans="1:33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5"/>
      <c r="AF391" s="44"/>
      <c r="AG391" s="44"/>
    </row>
    <row r="392" spans="1:33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5"/>
      <c r="AF392" s="44"/>
      <c r="AG392" s="44"/>
    </row>
    <row r="393" spans="1:3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5"/>
      <c r="AF393" s="44"/>
      <c r="AG393" s="44"/>
    </row>
    <row r="394" spans="1:33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5"/>
      <c r="AF394" s="44"/>
      <c r="AG394" s="44"/>
    </row>
    <row r="395" spans="1:33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5"/>
      <c r="AF395" s="44"/>
      <c r="AG395" s="44"/>
    </row>
    <row r="396" spans="1:33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5"/>
      <c r="AF396" s="44"/>
      <c r="AG396" s="44"/>
    </row>
    <row r="397" spans="1:33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5"/>
      <c r="AF397" s="44"/>
      <c r="AG397" s="44"/>
    </row>
    <row r="398" spans="1:33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5"/>
      <c r="AF398" s="44"/>
      <c r="AG398" s="44"/>
    </row>
    <row r="399" spans="1:33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5"/>
      <c r="AF399" s="44"/>
      <c r="AG399" s="44"/>
    </row>
    <row r="400" spans="1:33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5"/>
      <c r="AF400" s="44"/>
      <c r="AG400" s="44"/>
    </row>
    <row r="401" spans="1:33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5"/>
      <c r="AF401" s="44"/>
      <c r="AG401" s="44"/>
    </row>
    <row r="402" spans="1:33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5"/>
      <c r="AF402" s="44"/>
      <c r="AG402" s="44"/>
    </row>
    <row r="403" spans="1:3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5"/>
      <c r="AF403" s="44"/>
      <c r="AG403" s="44"/>
    </row>
    <row r="404" spans="1:33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5"/>
      <c r="AF404" s="44"/>
      <c r="AG404" s="44"/>
    </row>
    <row r="405" spans="1:33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5"/>
      <c r="AF405" s="44"/>
      <c r="AG405" s="44"/>
    </row>
    <row r="406" spans="1:33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5"/>
      <c r="AF406" s="44"/>
      <c r="AG406" s="44"/>
    </row>
    <row r="407" spans="1:33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5"/>
      <c r="AF407" s="44"/>
      <c r="AG407" s="44"/>
    </row>
    <row r="408" spans="1:33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5"/>
      <c r="AF408" s="44"/>
      <c r="AG408" s="44"/>
    </row>
    <row r="409" spans="1:33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5"/>
      <c r="AF409" s="44"/>
      <c r="AG409" s="44"/>
    </row>
    <row r="410" spans="1:33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5"/>
      <c r="AF410" s="44"/>
      <c r="AG410" s="44"/>
    </row>
    <row r="411" spans="1:33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5"/>
      <c r="AF411" s="44"/>
      <c r="AG411" s="44"/>
    </row>
    <row r="412" spans="1:33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5"/>
      <c r="AF412" s="44"/>
      <c r="AG412" s="44"/>
    </row>
    <row r="413" spans="1:3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5"/>
      <c r="AF413" s="44"/>
      <c r="AG413" s="44"/>
    </row>
    <row r="414" spans="1:33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5"/>
      <c r="AF414" s="44"/>
      <c r="AG414" s="44"/>
    </row>
    <row r="415" spans="1:33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5"/>
      <c r="AF415" s="44"/>
      <c r="AG415" s="44"/>
    </row>
    <row r="416" spans="1:33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5"/>
      <c r="AF416" s="44"/>
      <c r="AG416" s="44"/>
    </row>
    <row r="417" spans="1:33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5"/>
      <c r="AF417" s="44"/>
      <c r="AG417" s="44"/>
    </row>
    <row r="418" spans="1:33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5"/>
      <c r="AF418" s="44"/>
      <c r="AG418" s="44"/>
    </row>
    <row r="419" spans="1:33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5"/>
      <c r="AF419" s="44"/>
      <c r="AG419" s="44"/>
    </row>
    <row r="420" spans="1:33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5"/>
      <c r="AF420" s="44"/>
      <c r="AG420" s="44"/>
    </row>
    <row r="421" spans="1:33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5"/>
      <c r="AF421" s="44"/>
      <c r="AG421" s="44"/>
    </row>
    <row r="422" spans="1:33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5"/>
      <c r="AF422" s="44"/>
      <c r="AG422" s="44"/>
    </row>
    <row r="423" spans="1:3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5"/>
      <c r="AF423" s="44"/>
      <c r="AG423" s="44"/>
    </row>
    <row r="424" spans="1:33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5"/>
      <c r="AF424" s="44"/>
      <c r="AG424" s="44"/>
    </row>
    <row r="425" spans="1:33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5"/>
      <c r="AF425" s="44"/>
      <c r="AG425" s="44"/>
    </row>
    <row r="426" spans="1:33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5"/>
      <c r="AF426" s="44"/>
      <c r="AG426" s="44"/>
    </row>
    <row r="427" spans="1:33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5"/>
      <c r="AF427" s="44"/>
      <c r="AG427" s="44"/>
    </row>
    <row r="428" spans="1:33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5"/>
      <c r="AF428" s="44"/>
      <c r="AG428" s="44"/>
    </row>
    <row r="429" spans="1:33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5"/>
      <c r="AF429" s="44"/>
      <c r="AG429" s="44"/>
    </row>
    <row r="430" spans="1:33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5"/>
      <c r="AF430" s="44"/>
      <c r="AG430" s="44"/>
    </row>
    <row r="431" spans="1:33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5"/>
      <c r="AF431" s="44"/>
      <c r="AG431" s="44"/>
    </row>
    <row r="432" spans="1:33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5"/>
      <c r="AF432" s="44"/>
      <c r="AG432" s="44"/>
    </row>
    <row r="433" spans="1: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5"/>
      <c r="AF433" s="44"/>
      <c r="AG433" s="44"/>
    </row>
    <row r="434" spans="1:33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5"/>
      <c r="AF434" s="44"/>
      <c r="AG434" s="44"/>
    </row>
    <row r="435" spans="1:33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5"/>
      <c r="AF435" s="44"/>
      <c r="AG435" s="44"/>
    </row>
    <row r="436" spans="1:33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5"/>
      <c r="AF436" s="44"/>
      <c r="AG436" s="44"/>
    </row>
    <row r="437" spans="1:33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5"/>
      <c r="AF437" s="44"/>
      <c r="AG437" s="44"/>
    </row>
    <row r="438" spans="1:33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5"/>
      <c r="AF438" s="44"/>
      <c r="AG438" s="44"/>
    </row>
    <row r="439" spans="1:33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5"/>
      <c r="AF439" s="44"/>
      <c r="AG439" s="44"/>
    </row>
    <row r="440" spans="1:33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5"/>
      <c r="AF440" s="44"/>
      <c r="AG440" s="44"/>
    </row>
    <row r="441" spans="1:33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5"/>
      <c r="AF441" s="44"/>
      <c r="AG441" s="44"/>
    </row>
    <row r="442" spans="1:33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5"/>
      <c r="AF442" s="44"/>
      <c r="AG442" s="44"/>
    </row>
    <row r="443" spans="1:3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5"/>
      <c r="AF443" s="44"/>
      <c r="AG443" s="44"/>
    </row>
    <row r="444" spans="1:33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5"/>
      <c r="AF444" s="44"/>
      <c r="AG444" s="44"/>
    </row>
    <row r="445" spans="1:33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5"/>
      <c r="AF445" s="44"/>
      <c r="AG445" s="44"/>
    </row>
    <row r="446" spans="1:33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5"/>
      <c r="AF446" s="44"/>
      <c r="AG446" s="44"/>
    </row>
    <row r="447" spans="1:33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5"/>
      <c r="AF447" s="44"/>
      <c r="AG447" s="44"/>
    </row>
    <row r="448" spans="1:33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5"/>
      <c r="AF448" s="44"/>
      <c r="AG448" s="44"/>
    </row>
    <row r="449" spans="1:33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5"/>
      <c r="AF449" s="44"/>
      <c r="AG449" s="44"/>
    </row>
    <row r="450" spans="1:33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5"/>
      <c r="AF450" s="44"/>
      <c r="AG450" s="44"/>
    </row>
    <row r="451" spans="1:33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5"/>
      <c r="AF451" s="44"/>
      <c r="AG451" s="44"/>
    </row>
    <row r="452" spans="1:33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5"/>
      <c r="AF452" s="44"/>
      <c r="AG452" s="44"/>
    </row>
    <row r="453" spans="1:3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5"/>
      <c r="AF453" s="44"/>
      <c r="AG453" s="44"/>
    </row>
    <row r="454" spans="1:33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5"/>
      <c r="AF454" s="44"/>
      <c r="AG454" s="44"/>
    </row>
    <row r="455" spans="1:33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5"/>
      <c r="AF455" s="44"/>
      <c r="AG455" s="44"/>
    </row>
    <row r="456" spans="1:33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5"/>
      <c r="AF456" s="44"/>
      <c r="AG456" s="44"/>
    </row>
    <row r="457" spans="1:33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5"/>
      <c r="AF457" s="44"/>
      <c r="AG457" s="44"/>
    </row>
    <row r="458" spans="1:33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5"/>
      <c r="AF458" s="44"/>
      <c r="AG458" s="44"/>
    </row>
    <row r="459" spans="1:33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5"/>
      <c r="AF459" s="44"/>
      <c r="AG459" s="44"/>
    </row>
    <row r="460" spans="1:33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5"/>
      <c r="AF460" s="44"/>
      <c r="AG460" s="44"/>
    </row>
    <row r="461" spans="1:33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5"/>
      <c r="AF461" s="44"/>
      <c r="AG461" s="44"/>
    </row>
    <row r="462" spans="1:33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5"/>
      <c r="AF462" s="44"/>
      <c r="AG462" s="44"/>
    </row>
    <row r="463" spans="1:3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5"/>
      <c r="AF463" s="44"/>
      <c r="AG463" s="44"/>
    </row>
    <row r="464" spans="1:33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5"/>
      <c r="AF464" s="44"/>
      <c r="AG464" s="44"/>
    </row>
    <row r="465" spans="1:33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5"/>
      <c r="AF465" s="44"/>
      <c r="AG465" s="44"/>
    </row>
    <row r="466" spans="1:33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5"/>
      <c r="AF466" s="44"/>
      <c r="AG466" s="44"/>
    </row>
    <row r="467" spans="1:33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5"/>
      <c r="AF467" s="44"/>
      <c r="AG467" s="44"/>
    </row>
    <row r="468" spans="1:33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5"/>
      <c r="AF468" s="44"/>
      <c r="AG468" s="44"/>
    </row>
    <row r="469" spans="1:33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5"/>
      <c r="AF469" s="44"/>
      <c r="AG469" s="44"/>
    </row>
    <row r="470" spans="1:33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5"/>
      <c r="AF470" s="44"/>
      <c r="AG470" s="44"/>
    </row>
    <row r="471" spans="1:33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5"/>
      <c r="AF471" s="44"/>
      <c r="AG471" s="44"/>
    </row>
    <row r="472" spans="1:33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5"/>
      <c r="AF472" s="44"/>
      <c r="AG472" s="44"/>
    </row>
    <row r="473" spans="1:3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5"/>
      <c r="AF473" s="44"/>
      <c r="AG473" s="44"/>
    </row>
    <row r="474" spans="1:33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5"/>
      <c r="AF474" s="44"/>
      <c r="AG474" s="44"/>
    </row>
    <row r="475" spans="1:33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5"/>
      <c r="AF475" s="44"/>
      <c r="AG475" s="44"/>
    </row>
    <row r="476" spans="1:33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5"/>
      <c r="AF476" s="44"/>
      <c r="AG476" s="44"/>
    </row>
    <row r="477" spans="1:33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5"/>
      <c r="AF477" s="44"/>
      <c r="AG477" s="44"/>
    </row>
    <row r="478" spans="1:33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5"/>
      <c r="AF478" s="44"/>
      <c r="AG478" s="44"/>
    </row>
    <row r="479" spans="1:33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5"/>
      <c r="AF479" s="44"/>
      <c r="AG479" s="44"/>
    </row>
    <row r="480" spans="1:33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5"/>
      <c r="AF480" s="44"/>
      <c r="AG480" s="44"/>
    </row>
    <row r="481" spans="1:33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5"/>
      <c r="AF481" s="44"/>
      <c r="AG481" s="44"/>
    </row>
    <row r="482" spans="1:33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5"/>
      <c r="AF482" s="44"/>
      <c r="AG482" s="44"/>
    </row>
    <row r="483" spans="1:3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5"/>
      <c r="AF483" s="44"/>
      <c r="AG483" s="44"/>
    </row>
    <row r="484" spans="1:33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5"/>
      <c r="AF484" s="44"/>
      <c r="AG484" s="44"/>
    </row>
    <row r="485" spans="1:33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5"/>
      <c r="AF485" s="44"/>
      <c r="AG485" s="44"/>
    </row>
    <row r="486" spans="1:33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5"/>
      <c r="AF486" s="44"/>
      <c r="AG486" s="44"/>
    </row>
    <row r="487" spans="1:33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5"/>
      <c r="AF487" s="44"/>
      <c r="AG487" s="44"/>
    </row>
    <row r="488" spans="1:33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5"/>
      <c r="AF488" s="44"/>
      <c r="AG488" s="44"/>
    </row>
    <row r="489" spans="1:33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5"/>
      <c r="AF489" s="44"/>
      <c r="AG489" s="44"/>
    </row>
    <row r="490" spans="1:33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5"/>
      <c r="AF490" s="44"/>
      <c r="AG490" s="44"/>
    </row>
    <row r="491" spans="1:33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5"/>
      <c r="AF491" s="44"/>
      <c r="AG491" s="44"/>
    </row>
    <row r="492" spans="1:33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5"/>
      <c r="AF492" s="44"/>
      <c r="AG492" s="44"/>
    </row>
    <row r="493" spans="1:3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5"/>
      <c r="AF493" s="44"/>
      <c r="AG493" s="44"/>
    </row>
    <row r="494" spans="1:33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5"/>
      <c r="AF494" s="44"/>
      <c r="AG494" s="44"/>
    </row>
    <row r="495" spans="1:33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5"/>
      <c r="AF495" s="44"/>
      <c r="AG495" s="44"/>
    </row>
    <row r="496" spans="1:33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5"/>
      <c r="AF496" s="44"/>
      <c r="AG496" s="44"/>
    </row>
    <row r="497" spans="1:33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5"/>
      <c r="AF497" s="44"/>
      <c r="AG497" s="44"/>
    </row>
    <row r="498" spans="1:33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5"/>
      <c r="AF498" s="44"/>
      <c r="AG498" s="44"/>
    </row>
    <row r="499" spans="1:33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5"/>
      <c r="AF499" s="44"/>
      <c r="AG499" s="44"/>
    </row>
    <row r="500" spans="1:33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5"/>
      <c r="AF500" s="44"/>
      <c r="AG500" s="44"/>
    </row>
    <row r="501" spans="1:33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5"/>
      <c r="AF501" s="44"/>
      <c r="AG501" s="44"/>
    </row>
    <row r="502" spans="1:33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5"/>
      <c r="AF502" s="44"/>
      <c r="AG502" s="44"/>
    </row>
    <row r="503" spans="1:3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5"/>
      <c r="AF503" s="44"/>
      <c r="AG503" s="44"/>
    </row>
    <row r="504" spans="1:33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5"/>
      <c r="AF504" s="44"/>
      <c r="AG504" s="44"/>
    </row>
    <row r="505" spans="1:33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5"/>
      <c r="AF505" s="44"/>
      <c r="AG505" s="44"/>
    </row>
    <row r="506" spans="1:33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5"/>
      <c r="AF506" s="44"/>
      <c r="AG506" s="44"/>
    </row>
    <row r="507" spans="1:33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5"/>
      <c r="AF507" s="44"/>
      <c r="AG507" s="44"/>
    </row>
    <row r="508" spans="1:33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5"/>
      <c r="AF508" s="44"/>
      <c r="AG508" s="44"/>
    </row>
    <row r="509" spans="1:33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5"/>
      <c r="AF509" s="44"/>
      <c r="AG509" s="44"/>
    </row>
    <row r="510" spans="1:33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5"/>
      <c r="AF510" s="44"/>
      <c r="AG510" s="44"/>
    </row>
    <row r="511" spans="1:33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5"/>
      <c r="AF511" s="44"/>
      <c r="AG511" s="44"/>
    </row>
    <row r="512" spans="1:33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5"/>
      <c r="AF512" s="44"/>
      <c r="AG512" s="44"/>
    </row>
    <row r="513" spans="1:3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5"/>
      <c r="AF513" s="44"/>
      <c r="AG513" s="44"/>
    </row>
    <row r="514" spans="1:33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5"/>
      <c r="AF514" s="44"/>
      <c r="AG514" s="44"/>
    </row>
    <row r="515" spans="1:33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5"/>
      <c r="AF515" s="44"/>
      <c r="AG515" s="44"/>
    </row>
    <row r="516" spans="1:33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5"/>
      <c r="AF516" s="44"/>
      <c r="AG516" s="44"/>
    </row>
    <row r="517" spans="1:33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5"/>
      <c r="AF517" s="44"/>
      <c r="AG517" s="44"/>
    </row>
    <row r="518" spans="1:33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5"/>
      <c r="AF518" s="44"/>
      <c r="AG518" s="44"/>
    </row>
    <row r="519" spans="1:33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5"/>
      <c r="AF519" s="44"/>
      <c r="AG519" s="44"/>
    </row>
    <row r="520" spans="1:33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5"/>
      <c r="AF520" s="44"/>
      <c r="AG520" s="44"/>
    </row>
    <row r="521" spans="1:33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5"/>
      <c r="AF521" s="44"/>
      <c r="AG521" s="44"/>
    </row>
    <row r="522" spans="1:33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5"/>
      <c r="AF522" s="44"/>
      <c r="AG522" s="44"/>
    </row>
    <row r="523" spans="1:3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5"/>
      <c r="AF523" s="44"/>
      <c r="AG523" s="44"/>
    </row>
    <row r="524" spans="1:33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5"/>
      <c r="AF524" s="44"/>
      <c r="AG524" s="44"/>
    </row>
    <row r="525" spans="1:33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5"/>
      <c r="AF525" s="44"/>
      <c r="AG525" s="44"/>
    </row>
    <row r="526" spans="1:33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5"/>
      <c r="AF526" s="44"/>
      <c r="AG526" s="44"/>
    </row>
    <row r="527" spans="1:33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5"/>
      <c r="AF527" s="44"/>
      <c r="AG527" s="44"/>
    </row>
    <row r="528" spans="1:33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5"/>
      <c r="AF528" s="44"/>
      <c r="AG528" s="44"/>
    </row>
    <row r="529" spans="1:33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5"/>
      <c r="AF529" s="44"/>
      <c r="AG529" s="44"/>
    </row>
    <row r="530" spans="1:33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5"/>
      <c r="AF530" s="44"/>
      <c r="AG530" s="44"/>
    </row>
    <row r="531" spans="1:33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5"/>
      <c r="AF531" s="44"/>
      <c r="AG531" s="44"/>
    </row>
    <row r="532" spans="1:33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5"/>
      <c r="AF532" s="44"/>
      <c r="AG532" s="44"/>
    </row>
    <row r="533" spans="1: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5"/>
      <c r="AF533" s="44"/>
      <c r="AG533" s="44"/>
    </row>
    <row r="534" spans="1:33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5"/>
      <c r="AF534" s="44"/>
      <c r="AG534" s="44"/>
    </row>
    <row r="535" spans="1:33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5"/>
      <c r="AF535" s="44"/>
      <c r="AG535" s="44"/>
    </row>
    <row r="536" spans="1:33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5"/>
      <c r="AF536" s="44"/>
      <c r="AG536" s="44"/>
    </row>
    <row r="537" spans="1:33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5"/>
      <c r="AF537" s="44"/>
      <c r="AG537" s="44"/>
    </row>
    <row r="538" spans="1:33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5"/>
      <c r="AF538" s="44"/>
      <c r="AG538" s="44"/>
    </row>
    <row r="539" spans="1:33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5"/>
      <c r="AF539" s="44"/>
      <c r="AG539" s="44"/>
    </row>
    <row r="540" spans="1:33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5"/>
      <c r="AF540" s="44"/>
      <c r="AG540" s="44"/>
    </row>
    <row r="541" spans="1:33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5"/>
      <c r="AF541" s="44"/>
      <c r="AG541" s="44"/>
    </row>
    <row r="542" spans="1:33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5"/>
      <c r="AF542" s="44"/>
      <c r="AG542" s="44"/>
    </row>
    <row r="543" spans="1:3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5"/>
      <c r="AF543" s="44"/>
      <c r="AG543" s="44"/>
    </row>
    <row r="544" spans="1:33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5"/>
      <c r="AF544" s="44"/>
      <c r="AG544" s="44"/>
    </row>
    <row r="545" spans="1:33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5"/>
      <c r="AF545" s="44"/>
      <c r="AG545" s="44"/>
    </row>
    <row r="546" spans="1:33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5"/>
      <c r="AF546" s="44"/>
      <c r="AG546" s="44"/>
    </row>
    <row r="547" spans="1:33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5"/>
      <c r="AF547" s="44"/>
      <c r="AG547" s="44"/>
    </row>
    <row r="548" spans="1:33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5"/>
      <c r="AF548" s="44"/>
      <c r="AG548" s="44"/>
    </row>
    <row r="549" spans="1:33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5"/>
      <c r="AF549" s="44"/>
      <c r="AG549" s="44"/>
    </row>
    <row r="550" spans="1:33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5"/>
      <c r="AF550" s="44"/>
      <c r="AG550" s="44"/>
    </row>
    <row r="551" spans="1:33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5"/>
      <c r="AF551" s="44"/>
      <c r="AG551" s="44"/>
    </row>
    <row r="552" spans="1:33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5"/>
      <c r="AF552" s="44"/>
      <c r="AG552" s="44"/>
    </row>
    <row r="553" spans="1:3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5"/>
      <c r="AF553" s="44"/>
      <c r="AG553" s="44"/>
    </row>
    <row r="554" spans="1:33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5"/>
      <c r="AF554" s="44"/>
      <c r="AG554" s="44"/>
    </row>
    <row r="555" spans="1:33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5"/>
      <c r="AF555" s="44"/>
      <c r="AG555" s="44"/>
    </row>
    <row r="556" spans="1:33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5"/>
      <c r="AF556" s="44"/>
      <c r="AG556" s="44"/>
    </row>
    <row r="557" spans="1:33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5"/>
      <c r="AF557" s="44"/>
      <c r="AG557" s="44"/>
    </row>
    <row r="558" spans="1:33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5"/>
      <c r="AF558" s="44"/>
      <c r="AG558" s="44"/>
    </row>
    <row r="559" spans="1:33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5"/>
      <c r="AF559" s="44"/>
      <c r="AG559" s="44"/>
    </row>
    <row r="560" spans="1:33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5"/>
      <c r="AF560" s="44"/>
      <c r="AG560" s="44"/>
    </row>
    <row r="561" spans="1:33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5"/>
      <c r="AF561" s="44"/>
      <c r="AG561" s="44"/>
    </row>
    <row r="562" spans="1:33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5"/>
      <c r="AF562" s="44"/>
      <c r="AG562" s="44"/>
    </row>
    <row r="563" spans="1:3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5"/>
      <c r="AF563" s="44"/>
      <c r="AG563" s="44"/>
    </row>
    <row r="564" spans="1:33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5"/>
      <c r="AF564" s="44"/>
      <c r="AG564" s="44"/>
    </row>
    <row r="565" spans="1:33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5"/>
      <c r="AF565" s="44"/>
      <c r="AG565" s="44"/>
    </row>
    <row r="566" spans="1:33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5"/>
      <c r="AF566" s="44"/>
      <c r="AG566" s="44"/>
    </row>
    <row r="567" spans="1:33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5"/>
      <c r="AF567" s="44"/>
      <c r="AG567" s="44"/>
    </row>
    <row r="568" spans="1:33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5"/>
      <c r="AF568" s="44"/>
      <c r="AG568" s="44"/>
    </row>
    <row r="569" spans="1:33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5"/>
      <c r="AF569" s="44"/>
      <c r="AG569" s="44"/>
    </row>
    <row r="570" spans="1:33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5"/>
      <c r="AF570" s="44"/>
      <c r="AG570" s="44"/>
    </row>
    <row r="571" spans="1:33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5"/>
      <c r="AF571" s="44"/>
      <c r="AG571" s="44"/>
    </row>
    <row r="572" spans="1:33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5"/>
      <c r="AF572" s="44"/>
      <c r="AG572" s="44"/>
    </row>
    <row r="573" spans="1:3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5"/>
      <c r="AF573" s="44"/>
      <c r="AG573" s="44"/>
    </row>
    <row r="574" spans="1:33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5"/>
      <c r="AF574" s="44"/>
      <c r="AG574" s="44"/>
    </row>
    <row r="575" spans="1:33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5"/>
      <c r="AF575" s="44"/>
      <c r="AG575" s="44"/>
    </row>
    <row r="576" spans="1:33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5"/>
      <c r="AF576" s="44"/>
      <c r="AG576" s="44"/>
    </row>
    <row r="577" spans="1:33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5"/>
      <c r="AF577" s="44"/>
      <c r="AG577" s="44"/>
    </row>
    <row r="578" spans="1:33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5"/>
      <c r="AF578" s="44"/>
      <c r="AG578" s="44"/>
    </row>
    <row r="579" spans="1:33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5"/>
      <c r="AF579" s="44"/>
      <c r="AG579" s="44"/>
    </row>
    <row r="580" spans="1:33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5"/>
      <c r="AF580" s="44"/>
      <c r="AG580" s="44"/>
    </row>
    <row r="581" spans="1:33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5"/>
      <c r="AF581" s="44"/>
      <c r="AG581" s="44"/>
    </row>
    <row r="582" spans="1:33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5"/>
      <c r="AF582" s="44"/>
      <c r="AG582" s="44"/>
    </row>
    <row r="583" spans="1:3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5"/>
      <c r="AF583" s="44"/>
      <c r="AG583" s="44"/>
    </row>
    <row r="584" spans="1:33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5"/>
      <c r="AF584" s="44"/>
      <c r="AG584" s="44"/>
    </row>
    <row r="585" spans="1:33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5"/>
      <c r="AF585" s="44"/>
      <c r="AG585" s="44"/>
    </row>
    <row r="586" spans="1:33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5"/>
      <c r="AF586" s="44"/>
      <c r="AG586" s="44"/>
    </row>
    <row r="587" spans="1:33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5"/>
      <c r="AF587" s="44"/>
      <c r="AG587" s="44"/>
    </row>
    <row r="588" spans="1:33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5"/>
      <c r="AF588" s="44"/>
      <c r="AG588" s="44"/>
    </row>
    <row r="589" spans="1:33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5"/>
      <c r="AF589" s="44"/>
      <c r="AG589" s="44"/>
    </row>
    <row r="590" spans="1:33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5"/>
      <c r="AF590" s="44"/>
      <c r="AG590" s="44"/>
    </row>
    <row r="591" spans="1:33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5"/>
      <c r="AF591" s="44"/>
      <c r="AG591" s="44"/>
    </row>
    <row r="592" spans="1:33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5"/>
      <c r="AF592" s="44"/>
      <c r="AG592" s="44"/>
    </row>
    <row r="593" spans="1:3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5"/>
      <c r="AF593" s="44"/>
      <c r="AG593" s="44"/>
    </row>
    <row r="594" spans="1:33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5"/>
      <c r="AF594" s="44"/>
      <c r="AG594" s="44"/>
    </row>
    <row r="595" spans="1:33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5"/>
      <c r="AF595" s="44"/>
      <c r="AG595" s="44"/>
    </row>
    <row r="596" spans="1:33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5"/>
      <c r="AF596" s="44"/>
      <c r="AG596" s="44"/>
    </row>
    <row r="597" spans="1:33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5"/>
      <c r="AF597" s="44"/>
      <c r="AG597" s="44"/>
    </row>
    <row r="598" spans="1:33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5"/>
      <c r="AF598" s="44"/>
      <c r="AG598" s="44"/>
    </row>
    <row r="599" spans="1:33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5"/>
      <c r="AF599" s="44"/>
      <c r="AG599" s="44"/>
    </row>
    <row r="600" spans="1:33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5"/>
      <c r="AF600" s="44"/>
      <c r="AG600" s="44"/>
    </row>
    <row r="601" spans="1:33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5"/>
      <c r="AF601" s="44"/>
      <c r="AG601" s="44"/>
    </row>
    <row r="602" spans="1:33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5"/>
      <c r="AF602" s="44"/>
      <c r="AG602" s="44"/>
    </row>
    <row r="603" spans="1:3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5"/>
      <c r="AF603" s="44"/>
      <c r="AG603" s="44"/>
    </row>
    <row r="604" spans="1:33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5"/>
      <c r="AF604" s="44"/>
      <c r="AG604" s="44"/>
    </row>
    <row r="605" spans="1:33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5"/>
      <c r="AF605" s="44"/>
      <c r="AG605" s="44"/>
    </row>
    <row r="606" spans="1:33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5"/>
      <c r="AF606" s="44"/>
      <c r="AG606" s="44"/>
    </row>
    <row r="607" spans="1:33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5"/>
      <c r="AF607" s="44"/>
      <c r="AG607" s="44"/>
    </row>
    <row r="608" spans="1:33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5"/>
      <c r="AF608" s="44"/>
      <c r="AG608" s="44"/>
    </row>
    <row r="609" spans="1:33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5"/>
      <c r="AF609" s="44"/>
      <c r="AG609" s="44"/>
    </row>
    <row r="610" spans="1:33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5"/>
      <c r="AF610" s="44"/>
      <c r="AG610" s="44"/>
    </row>
    <row r="611" spans="1:33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5"/>
      <c r="AF611" s="44"/>
      <c r="AG611" s="44"/>
    </row>
    <row r="612" spans="1:33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5"/>
      <c r="AF612" s="44"/>
      <c r="AG612" s="44"/>
    </row>
    <row r="613" spans="1:3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5"/>
      <c r="AF613" s="44"/>
      <c r="AG613" s="44"/>
    </row>
    <row r="614" spans="1:33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5"/>
      <c r="AF614" s="44"/>
      <c r="AG614" s="44"/>
    </row>
    <row r="615" spans="1:33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5"/>
      <c r="AF615" s="44"/>
      <c r="AG615" s="44"/>
    </row>
    <row r="616" spans="1:33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5"/>
      <c r="AF616" s="44"/>
      <c r="AG616" s="44"/>
    </row>
    <row r="617" spans="1:33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5"/>
      <c r="AF617" s="44"/>
      <c r="AG617" s="44"/>
    </row>
    <row r="618" spans="1:33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5"/>
      <c r="AF618" s="44"/>
      <c r="AG618" s="44"/>
    </row>
    <row r="619" spans="1:33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5"/>
      <c r="AF619" s="44"/>
      <c r="AG619" s="44"/>
    </row>
    <row r="620" spans="1:33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5"/>
      <c r="AF620" s="44"/>
      <c r="AG620" s="44"/>
    </row>
    <row r="621" spans="1:33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5"/>
      <c r="AF621" s="44"/>
      <c r="AG621" s="44"/>
    </row>
    <row r="622" spans="1:33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5"/>
      <c r="AF622" s="44"/>
      <c r="AG622" s="44"/>
    </row>
    <row r="623" spans="1:3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5"/>
      <c r="AF623" s="44"/>
      <c r="AG623" s="44"/>
    </row>
    <row r="624" spans="1:33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5"/>
      <c r="AF624" s="44"/>
      <c r="AG624" s="44"/>
    </row>
    <row r="625" spans="1:33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5"/>
      <c r="AF625" s="44"/>
      <c r="AG625" s="44"/>
    </row>
    <row r="626" spans="1:33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5"/>
      <c r="AF626" s="44"/>
      <c r="AG626" s="44"/>
    </row>
    <row r="627" spans="1:33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5"/>
      <c r="AF627" s="44"/>
      <c r="AG627" s="44"/>
    </row>
    <row r="628" spans="1:33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5"/>
      <c r="AF628" s="44"/>
      <c r="AG628" s="44"/>
    </row>
    <row r="629" spans="1:33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5"/>
      <c r="AF629" s="44"/>
      <c r="AG629" s="44"/>
    </row>
    <row r="630" spans="1:33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5"/>
      <c r="AF630" s="44"/>
      <c r="AG630" s="44"/>
    </row>
    <row r="631" spans="1:33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5"/>
      <c r="AF631" s="44"/>
      <c r="AG631" s="44"/>
    </row>
    <row r="632" spans="1:33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5"/>
      <c r="AF632" s="44"/>
      <c r="AG632" s="44"/>
    </row>
    <row r="633" spans="1: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5"/>
      <c r="AF633" s="44"/>
      <c r="AG633" s="44"/>
    </row>
    <row r="634" spans="1:33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5"/>
      <c r="AF634" s="44"/>
      <c r="AG634" s="44"/>
    </row>
    <row r="635" spans="1:33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5"/>
      <c r="AF635" s="44"/>
      <c r="AG635" s="44"/>
    </row>
    <row r="636" spans="1:33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5"/>
      <c r="AF636" s="44"/>
      <c r="AG636" s="44"/>
    </row>
    <row r="637" spans="1:33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5"/>
      <c r="AF637" s="44"/>
      <c r="AG637" s="44"/>
    </row>
    <row r="638" spans="1:33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5"/>
      <c r="AF638" s="44"/>
      <c r="AG638" s="44"/>
    </row>
    <row r="639" spans="1:33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5"/>
      <c r="AF639" s="44"/>
      <c r="AG639" s="44"/>
    </row>
    <row r="640" spans="1:33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5"/>
      <c r="AF640" s="44"/>
      <c r="AG640" s="44"/>
    </row>
    <row r="641" spans="1:33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5"/>
      <c r="AF641" s="44"/>
      <c r="AG641" s="44"/>
    </row>
    <row r="642" spans="1:33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5"/>
      <c r="AF642" s="44"/>
      <c r="AG642" s="44"/>
    </row>
    <row r="643" spans="1:3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5"/>
      <c r="AF643" s="44"/>
      <c r="AG643" s="44"/>
    </row>
    <row r="644" spans="1:33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5"/>
      <c r="AF644" s="44"/>
      <c r="AG644" s="44"/>
    </row>
    <row r="645" spans="1:33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5"/>
      <c r="AF645" s="44"/>
      <c r="AG645" s="44"/>
    </row>
    <row r="646" spans="1:33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5"/>
      <c r="AF646" s="44"/>
      <c r="AG646" s="44"/>
    </row>
    <row r="647" spans="1:33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5"/>
      <c r="AF647" s="44"/>
      <c r="AG647" s="44"/>
    </row>
    <row r="648" spans="1:33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5"/>
      <c r="AF648" s="44"/>
      <c r="AG648" s="44"/>
    </row>
    <row r="649" spans="1:33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5"/>
      <c r="AF649" s="44"/>
      <c r="AG649" s="44"/>
    </row>
    <row r="650" spans="1:33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5"/>
      <c r="AF650" s="44"/>
      <c r="AG650" s="44"/>
    </row>
    <row r="651" spans="1:33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5"/>
      <c r="AF651" s="44"/>
      <c r="AG651" s="44"/>
    </row>
    <row r="652" spans="1:33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5"/>
      <c r="AF652" s="44"/>
      <c r="AG652" s="44"/>
    </row>
    <row r="653" spans="1:3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5"/>
      <c r="AF653" s="44"/>
      <c r="AG653" s="44"/>
    </row>
    <row r="654" spans="1:33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5"/>
      <c r="AF654" s="44"/>
      <c r="AG654" s="44"/>
    </row>
    <row r="655" spans="1:33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5"/>
      <c r="AF655" s="44"/>
      <c r="AG655" s="44"/>
    </row>
    <row r="656" spans="1:33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5"/>
      <c r="AF656" s="44"/>
      <c r="AG656" s="44"/>
    </row>
    <row r="657" spans="1:33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5"/>
      <c r="AF657" s="44"/>
      <c r="AG657" s="44"/>
    </row>
    <row r="658" spans="1:33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5"/>
      <c r="AF658" s="44"/>
      <c r="AG658" s="44"/>
    </row>
    <row r="659" spans="1:33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5"/>
      <c r="AF659" s="44"/>
      <c r="AG659" s="44"/>
    </row>
    <row r="660" spans="1:33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5"/>
      <c r="AF660" s="44"/>
      <c r="AG660" s="44"/>
    </row>
    <row r="661" spans="1:33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5"/>
      <c r="AF661" s="44"/>
      <c r="AG661" s="44"/>
    </row>
    <row r="662" spans="1:33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5"/>
      <c r="AF662" s="44"/>
      <c r="AG662" s="44"/>
    </row>
    <row r="663" spans="1:3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5"/>
      <c r="AF663" s="44"/>
      <c r="AG663" s="44"/>
    </row>
    <row r="664" spans="1:33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5"/>
      <c r="AF664" s="44"/>
      <c r="AG664" s="44"/>
    </row>
    <row r="665" spans="1:33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5"/>
      <c r="AF665" s="44"/>
      <c r="AG665" s="44"/>
    </row>
    <row r="666" spans="1:33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5"/>
      <c r="AF666" s="44"/>
      <c r="AG666" s="44"/>
    </row>
    <row r="667" spans="1:33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5"/>
      <c r="AF667" s="44"/>
      <c r="AG667" s="44"/>
    </row>
    <row r="668" spans="1:33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5"/>
      <c r="AF668" s="44"/>
      <c r="AG668" s="44"/>
    </row>
    <row r="669" spans="1:33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5"/>
      <c r="AF669" s="44"/>
      <c r="AG669" s="44"/>
    </row>
    <row r="670" spans="1:33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5"/>
      <c r="AF670" s="44"/>
      <c r="AG670" s="44"/>
    </row>
    <row r="671" spans="1:33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5"/>
      <c r="AF671" s="44"/>
      <c r="AG671" s="44"/>
    </row>
    <row r="672" spans="1:33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5"/>
      <c r="AF672" s="44"/>
      <c r="AG672" s="44"/>
    </row>
    <row r="673" spans="1:3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5"/>
      <c r="AF673" s="44"/>
      <c r="AG673" s="44"/>
    </row>
    <row r="674" spans="1:33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5"/>
      <c r="AF674" s="44"/>
      <c r="AG674" s="44"/>
    </row>
    <row r="675" spans="1:33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5"/>
      <c r="AF675" s="44"/>
      <c r="AG675" s="44"/>
    </row>
    <row r="676" spans="1:33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5"/>
      <c r="AF676" s="44"/>
      <c r="AG676" s="44"/>
    </row>
    <row r="677" spans="1:33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5"/>
      <c r="AF677" s="44"/>
      <c r="AG677" s="44"/>
    </row>
    <row r="678" spans="1:33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5"/>
      <c r="AF678" s="44"/>
      <c r="AG678" s="44"/>
    </row>
    <row r="679" spans="1:33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5"/>
      <c r="AF679" s="44"/>
      <c r="AG679" s="44"/>
    </row>
    <row r="680" spans="1:33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5"/>
      <c r="AF680" s="44"/>
      <c r="AG680" s="44"/>
    </row>
    <row r="681" spans="1:33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5"/>
      <c r="AF681" s="44"/>
      <c r="AG681" s="44"/>
    </row>
    <row r="682" spans="1:33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5"/>
      <c r="AF682" s="44"/>
      <c r="AG682" s="44"/>
    </row>
    <row r="683" spans="1:3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5"/>
      <c r="AF683" s="44"/>
      <c r="AG683" s="44"/>
    </row>
    <row r="684" spans="1:33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5"/>
      <c r="AF684" s="44"/>
      <c r="AG684" s="44"/>
    </row>
    <row r="685" spans="1:33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5"/>
      <c r="AF685" s="44"/>
      <c r="AG685" s="44"/>
    </row>
    <row r="686" spans="1:33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5"/>
      <c r="AF686" s="44"/>
      <c r="AG686" s="44"/>
    </row>
    <row r="687" spans="1:33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5"/>
      <c r="AF687" s="44"/>
      <c r="AG687" s="44"/>
    </row>
    <row r="688" spans="1:33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5"/>
      <c r="AF688" s="44"/>
      <c r="AG688" s="44"/>
    </row>
    <row r="689" spans="1:33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5"/>
      <c r="AF689" s="44"/>
      <c r="AG689" s="44"/>
    </row>
    <row r="690" spans="1:33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5"/>
      <c r="AF690" s="44"/>
      <c r="AG690" s="44"/>
    </row>
    <row r="691" spans="1:33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5"/>
      <c r="AF691" s="44"/>
      <c r="AG691" s="44"/>
    </row>
    <row r="692" spans="1:33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5"/>
      <c r="AF692" s="44"/>
      <c r="AG692" s="44"/>
    </row>
    <row r="693" spans="1:3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5"/>
      <c r="AF693" s="44"/>
      <c r="AG693" s="44"/>
    </row>
    <row r="694" spans="1:33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5"/>
      <c r="AF694" s="44"/>
      <c r="AG694" s="44"/>
    </row>
    <row r="695" spans="1:33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5"/>
      <c r="AF695" s="44"/>
      <c r="AG695" s="44"/>
    </row>
    <row r="696" spans="1:33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5"/>
      <c r="AF696" s="44"/>
      <c r="AG696" s="44"/>
    </row>
    <row r="697" spans="1:33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5"/>
      <c r="AF697" s="44"/>
      <c r="AG697" s="44"/>
    </row>
    <row r="698" spans="1:33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5"/>
      <c r="AF698" s="44"/>
      <c r="AG698" s="44"/>
    </row>
    <row r="699" spans="1:33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5"/>
      <c r="AF699" s="44"/>
      <c r="AG699" s="44"/>
    </row>
    <row r="700" spans="1:33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5"/>
      <c r="AF700" s="44"/>
      <c r="AG700" s="44"/>
    </row>
    <row r="701" spans="1:33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5"/>
      <c r="AF701" s="44"/>
      <c r="AG701" s="44"/>
    </row>
    <row r="702" spans="1:33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5"/>
      <c r="AF702" s="44"/>
      <c r="AG702" s="44"/>
    </row>
    <row r="703" spans="1:3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5"/>
      <c r="AF703" s="44"/>
      <c r="AG703" s="44"/>
    </row>
    <row r="704" spans="1:33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5"/>
      <c r="AF704" s="44"/>
      <c r="AG704" s="44"/>
    </row>
    <row r="705" spans="1:33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5"/>
      <c r="AF705" s="44"/>
      <c r="AG705" s="44"/>
    </row>
    <row r="706" spans="1:33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5"/>
      <c r="AF706" s="44"/>
      <c r="AG706" s="44"/>
    </row>
    <row r="707" spans="1:33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5"/>
      <c r="AF707" s="44"/>
      <c r="AG707" s="44"/>
    </row>
    <row r="708" spans="1:33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5"/>
      <c r="AF708" s="44"/>
      <c r="AG708" s="44"/>
    </row>
    <row r="709" spans="1:33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5"/>
      <c r="AF709" s="44"/>
      <c r="AG709" s="44"/>
    </row>
    <row r="710" spans="1:33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5"/>
      <c r="AF710" s="44"/>
      <c r="AG710" s="44"/>
    </row>
    <row r="711" spans="1:33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5"/>
      <c r="AF711" s="44"/>
      <c r="AG711" s="44"/>
    </row>
    <row r="712" spans="1:33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5"/>
      <c r="AF712" s="44"/>
      <c r="AG712" s="44"/>
    </row>
    <row r="713" spans="1:3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5"/>
      <c r="AF713" s="44"/>
      <c r="AG713" s="44"/>
    </row>
    <row r="714" spans="1:33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5"/>
      <c r="AF714" s="44"/>
      <c r="AG714" s="44"/>
    </row>
    <row r="715" spans="1:33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5"/>
      <c r="AF715" s="44"/>
      <c r="AG715" s="44"/>
    </row>
    <row r="716" spans="1:33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5"/>
      <c r="AF716" s="44"/>
      <c r="AG716" s="44"/>
    </row>
    <row r="717" spans="1:33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5"/>
      <c r="AF717" s="44"/>
      <c r="AG717" s="44"/>
    </row>
    <row r="718" spans="1:33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5"/>
      <c r="AF718" s="44"/>
      <c r="AG718" s="44"/>
    </row>
    <row r="719" spans="1:33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5"/>
      <c r="AF719" s="44"/>
      <c r="AG719" s="44"/>
    </row>
    <row r="720" spans="1:33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5"/>
      <c r="AF720" s="44"/>
      <c r="AG720" s="44"/>
    </row>
    <row r="721" spans="1:33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5"/>
      <c r="AF721" s="44"/>
      <c r="AG721" s="44"/>
    </row>
    <row r="722" spans="1:33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5"/>
      <c r="AF722" s="44"/>
      <c r="AG722" s="44"/>
    </row>
    <row r="723" spans="1:3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5"/>
      <c r="AF723" s="44"/>
      <c r="AG723" s="44"/>
    </row>
    <row r="724" spans="1:33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5"/>
      <c r="AF724" s="44"/>
      <c r="AG724" s="44"/>
    </row>
    <row r="725" spans="1:33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5"/>
      <c r="AF725" s="44"/>
      <c r="AG725" s="44"/>
    </row>
    <row r="726" spans="1:33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5"/>
      <c r="AF726" s="44"/>
      <c r="AG726" s="44"/>
    </row>
    <row r="727" spans="1:33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5"/>
      <c r="AF727" s="44"/>
      <c r="AG727" s="44"/>
    </row>
    <row r="728" spans="1:33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5"/>
      <c r="AF728" s="44"/>
      <c r="AG728" s="44"/>
    </row>
    <row r="729" spans="1:33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5"/>
      <c r="AF729" s="44"/>
      <c r="AG729" s="44"/>
    </row>
    <row r="730" spans="1:33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5"/>
      <c r="AF730" s="44"/>
      <c r="AG730" s="44"/>
    </row>
    <row r="731" spans="1:33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5"/>
      <c r="AF731" s="44"/>
      <c r="AG731" s="44"/>
    </row>
    <row r="732" spans="1:33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5"/>
      <c r="AF732" s="44"/>
      <c r="AG732" s="44"/>
    </row>
    <row r="733" spans="1: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5"/>
      <c r="AF733" s="44"/>
      <c r="AG733" s="44"/>
    </row>
    <row r="734" spans="1:33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5"/>
      <c r="AF734" s="44"/>
      <c r="AG734" s="44"/>
    </row>
    <row r="735" spans="1:33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5"/>
      <c r="AF735" s="44"/>
      <c r="AG735" s="44"/>
    </row>
    <row r="736" spans="1:33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5"/>
      <c r="AF736" s="44"/>
      <c r="AG736" s="44"/>
    </row>
    <row r="737" spans="1:33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5"/>
      <c r="AF737" s="44"/>
      <c r="AG737" s="44"/>
    </row>
    <row r="738" spans="1:33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5"/>
      <c r="AF738" s="44"/>
      <c r="AG738" s="44"/>
    </row>
    <row r="739" spans="1:33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5"/>
      <c r="AF739" s="44"/>
      <c r="AG739" s="44"/>
    </row>
    <row r="740" spans="1:33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5"/>
      <c r="AF740" s="44"/>
      <c r="AG740" s="44"/>
    </row>
    <row r="741" spans="1:33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5"/>
      <c r="AF741" s="44"/>
      <c r="AG741" s="44"/>
    </row>
    <row r="742" spans="1:33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5"/>
      <c r="AF742" s="44"/>
      <c r="AG742" s="44"/>
    </row>
    <row r="743" spans="1:3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5"/>
      <c r="AF743" s="44"/>
      <c r="AG743" s="44"/>
    </row>
    <row r="744" spans="1:33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5"/>
      <c r="AF744" s="44"/>
      <c r="AG744" s="44"/>
    </row>
    <row r="745" spans="1:33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5"/>
      <c r="AF745" s="44"/>
      <c r="AG745" s="44"/>
    </row>
    <row r="746" spans="1:33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5"/>
      <c r="AF746" s="44"/>
      <c r="AG746" s="44"/>
    </row>
    <row r="747" spans="1:33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5"/>
      <c r="AF747" s="44"/>
      <c r="AG747" s="44"/>
    </row>
    <row r="748" spans="1:33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5"/>
      <c r="AF748" s="44"/>
      <c r="AG748" s="44"/>
    </row>
    <row r="749" spans="1:33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5"/>
      <c r="AF749" s="44"/>
      <c r="AG749" s="44"/>
    </row>
    <row r="750" spans="1:33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5"/>
      <c r="AF750" s="44"/>
      <c r="AG750" s="44"/>
    </row>
    <row r="751" spans="1:33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5"/>
      <c r="AF751" s="44"/>
      <c r="AG751" s="44"/>
    </row>
    <row r="752" spans="1:33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5"/>
      <c r="AF752" s="44"/>
      <c r="AG752" s="44"/>
    </row>
    <row r="753" spans="1:3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5"/>
      <c r="AF753" s="44"/>
      <c r="AG753" s="44"/>
    </row>
    <row r="754" spans="1:33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5"/>
      <c r="AF754" s="44"/>
      <c r="AG754" s="44"/>
    </row>
    <row r="755" spans="1:33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5"/>
      <c r="AF755" s="44"/>
      <c r="AG755" s="44"/>
    </row>
    <row r="756" spans="1:33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5"/>
      <c r="AF756" s="44"/>
      <c r="AG756" s="44"/>
    </row>
    <row r="757" spans="1:33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5"/>
      <c r="AF757" s="44"/>
      <c r="AG757" s="44"/>
    </row>
    <row r="758" spans="1:33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5"/>
      <c r="AF758" s="44"/>
      <c r="AG758" s="44"/>
    </row>
    <row r="759" spans="1:33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5"/>
      <c r="AF759" s="44"/>
      <c r="AG759" s="44"/>
    </row>
    <row r="760" spans="1:33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5"/>
      <c r="AF760" s="44"/>
      <c r="AG760" s="44"/>
    </row>
    <row r="761" spans="1:33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5"/>
      <c r="AF761" s="44"/>
      <c r="AG761" s="44"/>
    </row>
    <row r="762" spans="1:33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5"/>
      <c r="AF762" s="44"/>
      <c r="AG762" s="44"/>
    </row>
    <row r="763" spans="1:3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5"/>
      <c r="AF763" s="44"/>
      <c r="AG763" s="44"/>
    </row>
    <row r="764" spans="1:33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5"/>
      <c r="AF764" s="44"/>
      <c r="AG764" s="44"/>
    </row>
    <row r="765" spans="1:33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5"/>
      <c r="AF765" s="44"/>
      <c r="AG765" s="44"/>
    </row>
    <row r="766" spans="1:33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5"/>
      <c r="AF766" s="44"/>
      <c r="AG766" s="44"/>
    </row>
    <row r="767" spans="1:33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5"/>
      <c r="AF767" s="44"/>
      <c r="AG767" s="44"/>
    </row>
    <row r="768" spans="1:33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5"/>
      <c r="AF768" s="44"/>
      <c r="AG768" s="44"/>
    </row>
    <row r="769" spans="1:33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5"/>
      <c r="AF769" s="44"/>
      <c r="AG769" s="44"/>
    </row>
    <row r="770" spans="1:33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5"/>
      <c r="AF770" s="44"/>
      <c r="AG770" s="44"/>
    </row>
    <row r="771" spans="1:33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5"/>
      <c r="AF771" s="44"/>
      <c r="AG771" s="44"/>
    </row>
    <row r="772" spans="1:33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5"/>
      <c r="AF772" s="44"/>
      <c r="AG772" s="44"/>
    </row>
    <row r="773" spans="1:3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5"/>
      <c r="AF773" s="44"/>
      <c r="AG773" s="44"/>
    </row>
    <row r="774" spans="1:33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5"/>
      <c r="AF774" s="44"/>
      <c r="AG774" s="44"/>
    </row>
    <row r="775" spans="1:33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5"/>
      <c r="AF775" s="44"/>
      <c r="AG775" s="44"/>
    </row>
    <row r="776" spans="1:33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5"/>
      <c r="AF776" s="44"/>
      <c r="AG776" s="44"/>
    </row>
    <row r="777" spans="1:33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5"/>
      <c r="AF777" s="44"/>
      <c r="AG777" s="44"/>
    </row>
    <row r="778" spans="1:33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5"/>
      <c r="AF778" s="44"/>
      <c r="AG778" s="44"/>
    </row>
    <row r="779" spans="1:33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5"/>
      <c r="AF779" s="44"/>
      <c r="AG779" s="44"/>
    </row>
    <row r="780" spans="1:33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5"/>
      <c r="AF780" s="44"/>
      <c r="AG780" s="44"/>
    </row>
    <row r="781" spans="1:33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5"/>
      <c r="AF781" s="44"/>
      <c r="AG781" s="44"/>
    </row>
    <row r="782" spans="1:33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5"/>
      <c r="AF782" s="44"/>
      <c r="AG782" s="44"/>
    </row>
    <row r="783" spans="1:3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5"/>
      <c r="AF783" s="44"/>
      <c r="AG783" s="44"/>
    </row>
    <row r="784" spans="1:33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5"/>
      <c r="AF784" s="44"/>
      <c r="AG784" s="44"/>
    </row>
    <row r="785" spans="1:33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5"/>
      <c r="AF785" s="44"/>
      <c r="AG785" s="44"/>
    </row>
    <row r="786" spans="1:33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5"/>
      <c r="AF786" s="44"/>
      <c r="AG786" s="44"/>
    </row>
    <row r="787" spans="1:33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5"/>
      <c r="AF787" s="44"/>
      <c r="AG787" s="44"/>
    </row>
    <row r="788" spans="1:33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5"/>
      <c r="AF788" s="44"/>
      <c r="AG788" s="44"/>
    </row>
    <row r="789" spans="1:33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5"/>
      <c r="AF789" s="44"/>
      <c r="AG789" s="44"/>
    </row>
    <row r="790" spans="1:33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5"/>
      <c r="AF790" s="44"/>
      <c r="AG790" s="44"/>
    </row>
    <row r="791" spans="1:33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5"/>
      <c r="AF791" s="44"/>
      <c r="AG791" s="44"/>
    </row>
    <row r="792" spans="1:33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5"/>
      <c r="AF792" s="44"/>
      <c r="AG792" s="44"/>
    </row>
    <row r="793" spans="1:3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5"/>
      <c r="AF793" s="44"/>
      <c r="AG793" s="44"/>
    </row>
    <row r="794" spans="1:33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5"/>
      <c r="AF794" s="44"/>
      <c r="AG794" s="44"/>
    </row>
    <row r="795" spans="1:33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5"/>
      <c r="AF795" s="44"/>
      <c r="AG795" s="44"/>
    </row>
    <row r="796" spans="1:33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5"/>
      <c r="AF796" s="44"/>
      <c r="AG796" s="44"/>
    </row>
    <row r="797" spans="1:33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5"/>
      <c r="AF797" s="44"/>
      <c r="AG797" s="44"/>
    </row>
    <row r="798" spans="1:33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5"/>
      <c r="AF798" s="44"/>
      <c r="AG798" s="44"/>
    </row>
    <row r="799" spans="1:33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5"/>
      <c r="AF799" s="44"/>
      <c r="AG799" s="44"/>
    </row>
    <row r="800" spans="1:33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5"/>
      <c r="AF800" s="44"/>
      <c r="AG800" s="44"/>
    </row>
    <row r="801" spans="1:33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5"/>
      <c r="AF801" s="44"/>
      <c r="AG801" s="44"/>
    </row>
    <row r="802" spans="1:33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5"/>
      <c r="AF802" s="44"/>
      <c r="AG802" s="44"/>
    </row>
    <row r="803" spans="1:3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5"/>
      <c r="AF803" s="44"/>
      <c r="AG803" s="44"/>
    </row>
    <row r="804" spans="1:33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5"/>
      <c r="AF804" s="44"/>
      <c r="AG804" s="44"/>
    </row>
    <row r="805" spans="1:33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5"/>
      <c r="AF805" s="44"/>
      <c r="AG805" s="44"/>
    </row>
    <row r="806" spans="1:33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5"/>
      <c r="AF806" s="44"/>
      <c r="AG806" s="44"/>
    </row>
    <row r="807" spans="1:33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5"/>
      <c r="AF807" s="44"/>
      <c r="AG807" s="44"/>
    </row>
    <row r="808" spans="1:33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5"/>
      <c r="AF808" s="44"/>
      <c r="AG808" s="44"/>
    </row>
    <row r="809" spans="1:33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5"/>
      <c r="AF809" s="44"/>
      <c r="AG809" s="44"/>
    </row>
    <row r="810" spans="1:33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5"/>
      <c r="AF810" s="44"/>
      <c r="AG810" s="44"/>
    </row>
    <row r="811" spans="1:33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5"/>
      <c r="AF811" s="44"/>
      <c r="AG811" s="44"/>
    </row>
    <row r="812" spans="1:33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5"/>
      <c r="AF812" s="44"/>
      <c r="AG812" s="44"/>
    </row>
    <row r="813" spans="1:3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5"/>
      <c r="AF813" s="44"/>
      <c r="AG813" s="44"/>
    </row>
    <row r="814" spans="1:33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5"/>
      <c r="AF814" s="44"/>
      <c r="AG814" s="44"/>
    </row>
    <row r="815" spans="1:33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5"/>
      <c r="AF815" s="44"/>
      <c r="AG815" s="44"/>
    </row>
    <row r="816" spans="1:33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5"/>
      <c r="AF816" s="44"/>
      <c r="AG816" s="44"/>
    </row>
    <row r="817" spans="1:33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5"/>
      <c r="AF817" s="44"/>
      <c r="AG817" s="44"/>
    </row>
    <row r="818" spans="1:33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5"/>
      <c r="AF818" s="44"/>
      <c r="AG818" s="44"/>
    </row>
    <row r="819" spans="1:33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5"/>
      <c r="AF819" s="44"/>
      <c r="AG819" s="44"/>
    </row>
    <row r="820" spans="1:33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5"/>
      <c r="AF820" s="44"/>
      <c r="AG820" s="44"/>
    </row>
    <row r="821" spans="1:33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5"/>
      <c r="AF821" s="44"/>
      <c r="AG821" s="44"/>
    </row>
    <row r="822" spans="1:33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5"/>
      <c r="AF822" s="44"/>
      <c r="AG822" s="44"/>
    </row>
    <row r="823" spans="1:3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5"/>
      <c r="AF823" s="44"/>
      <c r="AG823" s="44"/>
    </row>
    <row r="824" spans="1:33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5"/>
      <c r="AF824" s="44"/>
      <c r="AG824" s="44"/>
    </row>
    <row r="825" spans="1:33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5"/>
      <c r="AF825" s="44"/>
      <c r="AG825" s="44"/>
    </row>
    <row r="826" spans="1:33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5"/>
      <c r="AF826" s="44"/>
      <c r="AG826" s="44"/>
    </row>
    <row r="827" spans="1:33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5"/>
      <c r="AF827" s="44"/>
      <c r="AG827" s="44"/>
    </row>
    <row r="828" spans="1:33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5"/>
      <c r="AF828" s="44"/>
      <c r="AG828" s="44"/>
    </row>
    <row r="829" spans="1:33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5"/>
      <c r="AF829" s="44"/>
      <c r="AG829" s="44"/>
    </row>
    <row r="830" spans="1:33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5"/>
      <c r="AF830" s="44"/>
      <c r="AG830" s="44"/>
    </row>
    <row r="831" spans="1:33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5"/>
      <c r="AF831" s="44"/>
      <c r="AG831" s="44"/>
    </row>
    <row r="832" spans="1:33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5"/>
      <c r="AF832" s="44"/>
      <c r="AG832" s="44"/>
    </row>
    <row r="833" spans="1: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5"/>
      <c r="AF833" s="44"/>
      <c r="AG833" s="44"/>
    </row>
    <row r="834" spans="1:33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5"/>
      <c r="AF834" s="44"/>
      <c r="AG834" s="44"/>
    </row>
    <row r="835" spans="1:33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5"/>
      <c r="AF835" s="44"/>
      <c r="AG835" s="44"/>
    </row>
    <row r="836" spans="1:33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5"/>
      <c r="AF836" s="44"/>
      <c r="AG836" s="44"/>
    </row>
    <row r="837" spans="1:33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5"/>
      <c r="AF837" s="44"/>
      <c r="AG837" s="44"/>
    </row>
    <row r="838" spans="1:33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5"/>
      <c r="AF838" s="44"/>
      <c r="AG838" s="44"/>
    </row>
    <row r="839" spans="1:33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5"/>
      <c r="AF839" s="44"/>
      <c r="AG839" s="44"/>
    </row>
    <row r="840" spans="1:33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5"/>
      <c r="AF840" s="44"/>
      <c r="AG840" s="44"/>
    </row>
    <row r="841" spans="1:33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5"/>
      <c r="AF841" s="44"/>
      <c r="AG841" s="44"/>
    </row>
    <row r="842" spans="1:33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5"/>
      <c r="AF842" s="44"/>
      <c r="AG842" s="44"/>
    </row>
    <row r="843" spans="1:3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5"/>
      <c r="AF843" s="44"/>
      <c r="AG843" s="44"/>
    </row>
    <row r="844" spans="1:33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5"/>
      <c r="AF844" s="44"/>
      <c r="AG844" s="44"/>
    </row>
    <row r="845" spans="1:33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5"/>
      <c r="AF845" s="44"/>
      <c r="AG845" s="44"/>
    </row>
    <row r="846" spans="1:33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5"/>
      <c r="AF846" s="44"/>
      <c r="AG846" s="44"/>
    </row>
    <row r="847" spans="1:33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5"/>
      <c r="AF847" s="44"/>
      <c r="AG847" s="44"/>
    </row>
    <row r="848" spans="1:33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5"/>
      <c r="AF848" s="44"/>
      <c r="AG848" s="44"/>
    </row>
    <row r="849" spans="1:33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5"/>
      <c r="AF849" s="44"/>
      <c r="AG849" s="44"/>
    </row>
    <row r="850" spans="1:33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5"/>
      <c r="AF850" s="44"/>
      <c r="AG850" s="44"/>
    </row>
    <row r="851" spans="1:33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5"/>
      <c r="AF851" s="44"/>
      <c r="AG851" s="44"/>
    </row>
    <row r="852" spans="1:33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5"/>
      <c r="AF852" s="44"/>
      <c r="AG852" s="44"/>
    </row>
    <row r="853" spans="1:3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5"/>
      <c r="AF853" s="44"/>
      <c r="AG853" s="44"/>
    </row>
    <row r="854" spans="1:33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5"/>
      <c r="AF854" s="44"/>
      <c r="AG854" s="44"/>
    </row>
    <row r="855" spans="1:33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5"/>
      <c r="AF855" s="44"/>
      <c r="AG855" s="44"/>
    </row>
    <row r="856" spans="1:33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5"/>
      <c r="AF856" s="44"/>
      <c r="AG856" s="44"/>
    </row>
    <row r="857" spans="1:33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5"/>
      <c r="AF857" s="44"/>
      <c r="AG857" s="44"/>
    </row>
    <row r="858" spans="1:33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5"/>
      <c r="AF858" s="44"/>
      <c r="AG858" s="44"/>
    </row>
    <row r="859" spans="1:33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5"/>
      <c r="AF859" s="44"/>
      <c r="AG859" s="44"/>
    </row>
    <row r="860" spans="1:33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5"/>
      <c r="AF860" s="44"/>
      <c r="AG860" s="44"/>
    </row>
    <row r="861" spans="1:33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5"/>
      <c r="AF861" s="44"/>
      <c r="AG861" s="44"/>
    </row>
    <row r="862" spans="1:33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5"/>
      <c r="AF862" s="44"/>
      <c r="AG862" s="44"/>
    </row>
    <row r="863" spans="1:3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5"/>
      <c r="AF863" s="44"/>
      <c r="AG863" s="44"/>
    </row>
    <row r="864" spans="1:33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5"/>
      <c r="AF864" s="44"/>
      <c r="AG864" s="44"/>
    </row>
    <row r="865" spans="1:33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5"/>
      <c r="AF865" s="44"/>
      <c r="AG865" s="44"/>
    </row>
    <row r="866" spans="1:33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5"/>
      <c r="AF866" s="44"/>
      <c r="AG866" s="44"/>
    </row>
    <row r="867" spans="1:33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5"/>
      <c r="AF867" s="44"/>
      <c r="AG867" s="44"/>
    </row>
    <row r="868" spans="1:33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5"/>
      <c r="AF868" s="44"/>
      <c r="AG868" s="44"/>
    </row>
    <row r="869" spans="1:33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5"/>
      <c r="AF869" s="44"/>
      <c r="AG869" s="44"/>
    </row>
    <row r="870" spans="1:33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5"/>
      <c r="AF870" s="44"/>
      <c r="AG870" s="44"/>
    </row>
    <row r="871" spans="1:33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5"/>
      <c r="AF871" s="44"/>
      <c r="AG871" s="44"/>
    </row>
    <row r="872" spans="1:33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5"/>
      <c r="AF872" s="44"/>
      <c r="AG872" s="44"/>
    </row>
    <row r="873" spans="1:3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5"/>
      <c r="AF873" s="44"/>
      <c r="AG873" s="44"/>
    </row>
    <row r="874" spans="1:33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5"/>
      <c r="AF874" s="44"/>
      <c r="AG874" s="44"/>
    </row>
    <row r="875" spans="1:33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5"/>
      <c r="AF875" s="44"/>
      <c r="AG875" s="44"/>
    </row>
    <row r="876" spans="1:33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5"/>
      <c r="AF876" s="44"/>
      <c r="AG876" s="44"/>
    </row>
    <row r="877" spans="1:33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5"/>
      <c r="AF877" s="44"/>
      <c r="AG877" s="44"/>
    </row>
    <row r="878" spans="1:33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5"/>
      <c r="AF878" s="44"/>
      <c r="AG878" s="44"/>
    </row>
    <row r="879" spans="1:33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5"/>
      <c r="AF879" s="44"/>
      <c r="AG879" s="44"/>
    </row>
    <row r="880" spans="1:33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5"/>
      <c r="AF880" s="44"/>
      <c r="AG880" s="44"/>
    </row>
    <row r="881" spans="1:33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5"/>
      <c r="AF881" s="44"/>
      <c r="AG881" s="44"/>
    </row>
    <row r="882" spans="1:33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5"/>
      <c r="AF882" s="44"/>
      <c r="AG882" s="44"/>
    </row>
    <row r="883" spans="1:3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5"/>
      <c r="AF883" s="44"/>
      <c r="AG883" s="44"/>
    </row>
    <row r="884" spans="1:33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5"/>
      <c r="AF884" s="44"/>
      <c r="AG884" s="44"/>
    </row>
    <row r="885" spans="1:33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5"/>
      <c r="AF885" s="44"/>
      <c r="AG885" s="44"/>
    </row>
    <row r="886" spans="1:33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5"/>
      <c r="AF886" s="44"/>
      <c r="AG886" s="44"/>
    </row>
    <row r="887" spans="1:33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5"/>
      <c r="AF887" s="44"/>
      <c r="AG887" s="44"/>
    </row>
    <row r="888" spans="1:33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5"/>
      <c r="AF888" s="44"/>
      <c r="AG888" s="44"/>
    </row>
    <row r="889" spans="1:33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5"/>
      <c r="AF889" s="44"/>
      <c r="AG889" s="44"/>
    </row>
    <row r="890" spans="1:33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5"/>
      <c r="AF890" s="44"/>
      <c r="AG890" s="44"/>
    </row>
    <row r="891" spans="1:33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5"/>
      <c r="AF891" s="44"/>
      <c r="AG891" s="44"/>
    </row>
    <row r="892" spans="1:33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5"/>
      <c r="AF892" s="44"/>
      <c r="AG892" s="44"/>
    </row>
    <row r="893" spans="1:3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5"/>
      <c r="AF893" s="44"/>
      <c r="AG893" s="44"/>
    </row>
    <row r="894" spans="1:33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5"/>
      <c r="AF894" s="44"/>
      <c r="AG894" s="44"/>
    </row>
    <row r="895" spans="1:33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5"/>
      <c r="AF895" s="44"/>
      <c r="AG895" s="44"/>
    </row>
    <row r="896" spans="1:33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5"/>
      <c r="AF896" s="44"/>
      <c r="AG896" s="44"/>
    </row>
    <row r="897" spans="1:33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5"/>
      <c r="AF897" s="44"/>
      <c r="AG897" s="44"/>
    </row>
    <row r="898" spans="1:33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5"/>
      <c r="AF898" s="44"/>
      <c r="AG898" s="44"/>
    </row>
    <row r="899" spans="1:33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5"/>
      <c r="AF899" s="44"/>
      <c r="AG899" s="44"/>
    </row>
    <row r="900" spans="1:33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5"/>
      <c r="AF900" s="44"/>
      <c r="AG900" s="44"/>
    </row>
    <row r="901" spans="1:33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5"/>
      <c r="AF901" s="44"/>
      <c r="AG901" s="44"/>
    </row>
    <row r="902" spans="1:33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5"/>
      <c r="AF902" s="44"/>
      <c r="AG902" s="44"/>
    </row>
    <row r="903" spans="1:3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5"/>
      <c r="AF903" s="44"/>
      <c r="AG903" s="44"/>
    </row>
    <row r="904" spans="1:33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5"/>
      <c r="AF904" s="44"/>
      <c r="AG904" s="44"/>
    </row>
    <row r="905" spans="1:33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5"/>
      <c r="AF905" s="44"/>
      <c r="AG905" s="44"/>
    </row>
    <row r="906" spans="1:33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5"/>
      <c r="AF906" s="44"/>
      <c r="AG906" s="44"/>
    </row>
    <row r="907" spans="1:33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5"/>
      <c r="AF907" s="44"/>
      <c r="AG907" s="44"/>
    </row>
    <row r="908" spans="1:33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5"/>
      <c r="AF908" s="44"/>
      <c r="AG908" s="44"/>
    </row>
    <row r="909" spans="1:33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5"/>
      <c r="AF909" s="44"/>
      <c r="AG909" s="44"/>
    </row>
    <row r="910" spans="1:33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5"/>
      <c r="AF910" s="44"/>
      <c r="AG910" s="44"/>
    </row>
    <row r="911" spans="1:33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5"/>
      <c r="AF911" s="44"/>
      <c r="AG911" s="44"/>
    </row>
    <row r="912" spans="1:33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5"/>
      <c r="AF912" s="44"/>
      <c r="AG912" s="44"/>
    </row>
    <row r="913" spans="1:3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5"/>
      <c r="AF913" s="44"/>
      <c r="AG913" s="44"/>
    </row>
    <row r="914" spans="1:33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5"/>
      <c r="AF914" s="44"/>
      <c r="AG914" s="44"/>
    </row>
    <row r="915" spans="1:33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5"/>
      <c r="AF915" s="44"/>
      <c r="AG915" s="44"/>
    </row>
    <row r="916" spans="1:33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5"/>
      <c r="AF916" s="44"/>
      <c r="AG916" s="44"/>
    </row>
    <row r="917" spans="1:33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5"/>
      <c r="AF917" s="44"/>
      <c r="AG917" s="44"/>
    </row>
    <row r="918" spans="1:33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5"/>
      <c r="AF918" s="44"/>
      <c r="AG918" s="44"/>
    </row>
    <row r="919" spans="1:33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5"/>
      <c r="AF919" s="44"/>
      <c r="AG919" s="44"/>
    </row>
    <row r="920" spans="1:33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5"/>
      <c r="AF920" s="44"/>
      <c r="AG920" s="44"/>
    </row>
    <row r="921" spans="1:33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5"/>
      <c r="AF921" s="44"/>
      <c r="AG921" s="44"/>
    </row>
    <row r="922" spans="1:33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5"/>
      <c r="AF922" s="44"/>
      <c r="AG922" s="44"/>
    </row>
    <row r="923" spans="1:3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5"/>
      <c r="AF923" s="44"/>
      <c r="AG923" s="44"/>
    </row>
    <row r="924" spans="1:33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5"/>
      <c r="AF924" s="44"/>
      <c r="AG924" s="44"/>
    </row>
    <row r="925" spans="1:33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5"/>
      <c r="AF925" s="44"/>
      <c r="AG925" s="44"/>
    </row>
    <row r="926" spans="1:33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5"/>
      <c r="AF926" s="44"/>
      <c r="AG926" s="44"/>
    </row>
    <row r="927" spans="1:33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5"/>
      <c r="AF927" s="44"/>
      <c r="AG927" s="44"/>
    </row>
    <row r="928" spans="1:33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5"/>
      <c r="AF928" s="44"/>
      <c r="AG928" s="44"/>
    </row>
    <row r="929" spans="1:33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5"/>
      <c r="AF929" s="44"/>
      <c r="AG929" s="44"/>
    </row>
    <row r="930" spans="1:33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5"/>
      <c r="AF930" s="44"/>
      <c r="AG930" s="44"/>
    </row>
    <row r="931" spans="1:33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5"/>
      <c r="AF931" s="44"/>
      <c r="AG931" s="44"/>
    </row>
    <row r="932" spans="1:33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5"/>
      <c r="AF932" s="44"/>
      <c r="AG932" s="44"/>
    </row>
    <row r="933" spans="1: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5"/>
      <c r="AF933" s="44"/>
      <c r="AG933" s="44"/>
    </row>
    <row r="934" spans="1:33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5"/>
      <c r="AF934" s="44"/>
      <c r="AG934" s="44"/>
    </row>
    <row r="935" spans="1:33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5"/>
      <c r="AF935" s="44"/>
      <c r="AG935" s="44"/>
    </row>
    <row r="936" spans="1:33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5"/>
      <c r="AF936" s="44"/>
      <c r="AG936" s="44"/>
    </row>
    <row r="937" spans="1:33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5"/>
      <c r="AF937" s="44"/>
      <c r="AG937" s="44"/>
    </row>
    <row r="938" spans="1:33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5"/>
      <c r="AF938" s="44"/>
      <c r="AG938" s="44"/>
    </row>
    <row r="939" spans="1:33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5"/>
      <c r="AF939" s="44"/>
      <c r="AG939" s="44"/>
    </row>
    <row r="940" spans="1:33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5"/>
      <c r="AF940" s="44"/>
      <c r="AG940" s="44"/>
    </row>
    <row r="941" spans="1:33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5"/>
      <c r="AF941" s="44"/>
      <c r="AG941" s="44"/>
    </row>
    <row r="942" spans="1:33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5"/>
      <c r="AF942" s="44"/>
      <c r="AG942" s="44"/>
    </row>
    <row r="943" spans="1:3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5"/>
      <c r="AF943" s="44"/>
      <c r="AG943" s="44"/>
    </row>
    <row r="944" spans="1:33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5"/>
      <c r="AF944" s="44"/>
      <c r="AG944" s="44"/>
    </row>
    <row r="945" spans="1:33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5"/>
      <c r="AF945" s="44"/>
      <c r="AG945" s="44"/>
    </row>
    <row r="946" spans="1:33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5"/>
      <c r="AF946" s="44"/>
      <c r="AG946" s="44"/>
    </row>
    <row r="947" spans="1:33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5"/>
      <c r="AF947" s="44"/>
      <c r="AG947" s="44"/>
    </row>
    <row r="948" spans="1:33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5"/>
      <c r="AF948" s="44"/>
      <c r="AG948" s="44"/>
    </row>
    <row r="949" spans="1:33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5"/>
      <c r="AF949" s="44"/>
      <c r="AG949" s="44"/>
    </row>
    <row r="950" spans="1:33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5"/>
      <c r="AF950" s="44"/>
      <c r="AG950" s="44"/>
    </row>
    <row r="951" spans="1:33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5"/>
      <c r="AF951" s="44"/>
      <c r="AG951" s="44"/>
    </row>
    <row r="952" spans="1:33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5"/>
      <c r="AF952" s="44"/>
      <c r="AG952" s="44"/>
    </row>
    <row r="953" spans="1:3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5"/>
      <c r="AF953" s="44"/>
      <c r="AG953" s="44"/>
    </row>
    <row r="954" spans="1:33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5"/>
      <c r="AF954" s="44"/>
      <c r="AG954" s="44"/>
    </row>
    <row r="955" spans="1:33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5"/>
      <c r="AF955" s="44"/>
      <c r="AG955" s="44"/>
    </row>
    <row r="956" spans="1:33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5"/>
      <c r="AF956" s="44"/>
      <c r="AG956" s="44"/>
    </row>
    <row r="957" spans="1:33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5"/>
      <c r="AF957" s="44"/>
      <c r="AG957" s="44"/>
    </row>
    <row r="958" spans="1:33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5"/>
      <c r="AF958" s="44"/>
      <c r="AG958" s="44"/>
    </row>
    <row r="959" spans="1:33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5"/>
      <c r="AF959" s="44"/>
      <c r="AG959" s="44"/>
    </row>
    <row r="960" spans="1:33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5"/>
      <c r="AF960" s="44"/>
      <c r="AG960" s="44"/>
    </row>
    <row r="961" spans="1:33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5"/>
      <c r="AF961" s="44"/>
      <c r="AG961" s="44"/>
    </row>
    <row r="962" spans="1:33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5"/>
      <c r="AF962" s="44"/>
      <c r="AG962" s="44"/>
    </row>
    <row r="963" spans="1:3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5"/>
      <c r="AF963" s="44"/>
      <c r="AG963" s="44"/>
    </row>
    <row r="964" spans="1:33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5"/>
      <c r="AF964" s="44"/>
      <c r="AG964" s="44"/>
    </row>
    <row r="965" spans="1:33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5"/>
      <c r="AF965" s="44"/>
      <c r="AG965" s="44"/>
    </row>
    <row r="966" spans="1:33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5"/>
      <c r="AF966" s="44"/>
      <c r="AG966" s="44"/>
    </row>
    <row r="967" spans="1:33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5"/>
      <c r="AF967" s="44"/>
      <c r="AG967" s="44"/>
    </row>
    <row r="968" spans="1:33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5"/>
      <c r="AF968" s="44"/>
      <c r="AG968" s="44"/>
    </row>
    <row r="969" spans="1:33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5"/>
      <c r="AF969" s="44"/>
      <c r="AG969" s="44"/>
    </row>
    <row r="970" spans="1:33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5"/>
      <c r="AF970" s="44"/>
      <c r="AG970" s="44"/>
    </row>
    <row r="971" spans="1:33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5"/>
      <c r="AF971" s="44"/>
      <c r="AG971" s="44"/>
    </row>
    <row r="972" spans="1:33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5"/>
      <c r="AF972" s="44"/>
      <c r="AG972" s="44"/>
    </row>
    <row r="973" spans="1:3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5"/>
      <c r="AF973" s="44"/>
      <c r="AG973" s="44"/>
    </row>
    <row r="974" spans="1:33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5"/>
      <c r="AF974" s="44"/>
      <c r="AG974" s="44"/>
    </row>
    <row r="975" spans="1:33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5"/>
      <c r="AF975" s="44"/>
      <c r="AG975" s="44"/>
    </row>
    <row r="976" spans="1:33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5"/>
      <c r="AF976" s="44"/>
      <c r="AG976" s="44"/>
    </row>
    <row r="977" spans="1:33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5"/>
      <c r="AF977" s="44"/>
      <c r="AG977" s="44"/>
    </row>
    <row r="978" spans="1:33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5"/>
      <c r="AF978" s="44"/>
      <c r="AG978" s="44"/>
    </row>
    <row r="979" spans="1:33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5"/>
      <c r="AF979" s="44"/>
      <c r="AG979" s="44"/>
    </row>
    <row r="980" spans="1:33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5"/>
      <c r="AF980" s="44"/>
      <c r="AG980" s="44"/>
    </row>
    <row r="981" spans="1:33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5"/>
      <c r="AF981" s="44"/>
      <c r="AG981" s="44"/>
    </row>
    <row r="982" spans="1:33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5"/>
      <c r="AF982" s="44"/>
      <c r="AG982" s="44"/>
    </row>
    <row r="983" spans="1:3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5"/>
      <c r="AF983" s="44"/>
      <c r="AG983" s="44"/>
    </row>
    <row r="984" spans="1:33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5"/>
      <c r="AF984" s="44"/>
      <c r="AG984" s="44"/>
    </row>
    <row r="985" spans="1:33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5"/>
      <c r="AF985" s="44"/>
      <c r="AG985" s="44"/>
    </row>
    <row r="986" spans="1:33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5"/>
      <c r="AF986" s="44"/>
      <c r="AG986" s="44"/>
    </row>
    <row r="987" spans="1:33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5"/>
      <c r="AF987" s="44"/>
      <c r="AG987" s="44"/>
    </row>
    <row r="988" spans="1:33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5"/>
      <c r="AF988" s="44"/>
      <c r="AG988" s="44"/>
    </row>
    <row r="989" spans="1:33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5"/>
      <c r="AF989" s="44"/>
      <c r="AG989" s="44"/>
    </row>
    <row r="990" spans="1:33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5"/>
      <c r="AF990" s="44"/>
      <c r="AG990" s="44"/>
    </row>
    <row r="991" spans="1:33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5"/>
      <c r="AF991" s="44"/>
      <c r="AG991" s="44"/>
    </row>
    <row r="992" spans="1:33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5"/>
      <c r="AF992" s="44"/>
      <c r="AG992" s="44"/>
    </row>
    <row r="993" spans="1:3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5"/>
      <c r="AF993" s="44"/>
      <c r="AG993" s="44"/>
    </row>
    <row r="994" spans="1:33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5"/>
      <c r="AF994" s="44"/>
      <c r="AG994" s="44"/>
    </row>
    <row r="995" spans="1:33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5"/>
      <c r="AF995" s="44"/>
      <c r="AG995" s="44"/>
    </row>
    <row r="996" spans="1:33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5"/>
      <c r="AF996" s="44"/>
      <c r="AG996" s="44"/>
    </row>
    <row r="997" spans="1:33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5"/>
      <c r="AF997" s="44"/>
      <c r="AG997" s="44"/>
    </row>
  </sheetData>
  <sheetProtection algorithmName="SHA-512" hashValue="QcmZPkE+3ZoJXJ12KrB46vCyYfDWcLzramgdSI0kdVY9EMhRQkjDGFSDaOfjal6Ip4jF5Ypvh6gu8moySLu1DA==" saltValue="7CfQ9A5DH0hKD/2spL8M0A==" spinCount="100000" sheet="1" formatCells="0"/>
  <mergeCells count="47">
    <mergeCell ref="AG1:AG9"/>
    <mergeCell ref="D2:R2"/>
    <mergeCell ref="T2:X2"/>
    <mergeCell ref="Z2:AD2"/>
    <mergeCell ref="S8:S9"/>
    <mergeCell ref="C1:R1"/>
    <mergeCell ref="S1:X1"/>
    <mergeCell ref="Y1:AD1"/>
    <mergeCell ref="AE1:AE9"/>
    <mergeCell ref="AF1:AF9"/>
    <mergeCell ref="Y8:Y9"/>
    <mergeCell ref="AA8:AA9"/>
    <mergeCell ref="AB8:AB9"/>
    <mergeCell ref="AC8:AC9"/>
    <mergeCell ref="AD8:AD9"/>
    <mergeCell ref="A3:B3"/>
    <mergeCell ref="D3:R3"/>
    <mergeCell ref="T3:X3"/>
    <mergeCell ref="Z3:AD3"/>
    <mergeCell ref="A4:B4"/>
    <mergeCell ref="D4:R4"/>
    <mergeCell ref="T4:X4"/>
    <mergeCell ref="Z4:AD4"/>
    <mergeCell ref="A5:B5"/>
    <mergeCell ref="D5:R5"/>
    <mergeCell ref="T5:X5"/>
    <mergeCell ref="Z5:AD5"/>
    <mergeCell ref="A6:B6"/>
    <mergeCell ref="D6:R6"/>
    <mergeCell ref="T6:X6"/>
    <mergeCell ref="Z6:AD6"/>
    <mergeCell ref="A7:B8"/>
    <mergeCell ref="D7:R7"/>
    <mergeCell ref="T7:X7"/>
    <mergeCell ref="Z7:AD7"/>
    <mergeCell ref="C8:D8"/>
    <mergeCell ref="E8:F8"/>
    <mergeCell ref="G8:H8"/>
    <mergeCell ref="I8:J8"/>
    <mergeCell ref="K8:L8"/>
    <mergeCell ref="R8:R9"/>
    <mergeCell ref="T8:T9"/>
    <mergeCell ref="U8:U9"/>
    <mergeCell ref="V8:V9"/>
    <mergeCell ref="W8:W9"/>
    <mergeCell ref="X8:X9"/>
    <mergeCell ref="Z8:Z9"/>
  </mergeCells>
  <conditionalFormatting sqref="R10:R49">
    <cfRule type="containsErrors" dxfId="26" priority="9">
      <formula>ISERROR(R10)</formula>
    </cfRule>
  </conditionalFormatting>
  <conditionalFormatting sqref="X8:X49">
    <cfRule type="containsErrors" dxfId="25" priority="8">
      <formula>ISERROR(X8)</formula>
    </cfRule>
  </conditionalFormatting>
  <conditionalFormatting sqref="AD8:AD49">
    <cfRule type="containsErrors" dxfId="24" priority="7">
      <formula>ISERROR(AD8)</formula>
    </cfRule>
  </conditionalFormatting>
  <conditionalFormatting sqref="AE1:AE49">
    <cfRule type="cellIs" dxfId="23" priority="5" operator="lessThan">
      <formula>3</formula>
    </cfRule>
    <cfRule type="containsErrors" dxfId="22" priority="6">
      <formula>ISERROR(AE1)</formula>
    </cfRule>
  </conditionalFormatting>
  <conditionalFormatting sqref="A10:A49">
    <cfRule type="expression" dxfId="21" priority="4">
      <formula>AG10&lt;3</formula>
    </cfRule>
  </conditionalFormatting>
  <conditionalFormatting sqref="AG10:AG49">
    <cfRule type="containsErrors" dxfId="20" priority="2">
      <formula>ISERROR(AG10)</formula>
    </cfRule>
    <cfRule type="cellIs" dxfId="19" priority="3" operator="lessThan">
      <formula>3</formula>
    </cfRule>
  </conditionalFormatting>
  <conditionalFormatting sqref="B10:B49">
    <cfRule type="cellIs" dxfId="18" priority="1" operator="equal">
      <formula>0</formula>
    </cfRule>
  </conditionalFormatting>
  <dataValidations count="5">
    <dataValidation type="decimal" allowBlank="1" showInputMessage="1" showErrorMessage="1" errorTitle="VALOR INCORRECTO" error="Recuerde que la calificacion debe estar entre 1 y 5" prompt="Entrada incorrecta" sqref="W10:W49">
      <formula1>1</formula1>
      <formula2>5</formula2>
    </dataValidation>
    <dataValidation allowBlank="1" showInputMessage="1" showErrorMessage="1" promptTitle="DESCRIPCIÓN DE ACTIVIADES" prompt="Para cada nota o calificación, describa la actividad realizada;Taller, evaluación, exposición, mesa redonda etc. por ejemplo: Taller grupal, suma y resta de números enteros." sqref="T3:AH3 D3:R3"/>
    <dataValidation allowBlank="1" showInputMessage="1" showErrorMessage="1" promptTitle="N.P." prompt="NOTA PARCIAL" sqref="R8:R9 X8:X9"/>
    <dataValidation type="decimal" allowBlank="1" showInputMessage="1" showErrorMessage="1" errorTitle="VALOR INCORRECTO" error="Recuerde que la calificacion debe estar entre 1 y 5" sqref="C10:L49 S10:V49 Y10:AC49 AF10:AF49">
      <formula1>1</formula1>
      <formula2>5</formula2>
    </dataValidation>
    <dataValidation allowBlank="1" showInputMessage="1" showErrorMessage="1" prompt="IR A INICIO" sqref="A7:B8"/>
  </dataValidations>
  <hyperlinks>
    <hyperlink ref="A7:B8" location="INICIO!A1" tooltip="IR A MENU DE INICIO" display="Periodo 01"/>
  </hyperlinks>
  <pageMargins left="0.27559055118110237" right="0.23622047244094491" top="0.57999999999999996" bottom="0.55000000000000004" header="0" footer="0"/>
  <pageSetup paperSize="120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97"/>
  <sheetViews>
    <sheetView showGridLines="0" zoomScaleNormal="100" workbookViewId="0">
      <pane xSplit="2" ySplit="9" topLeftCell="Q10" activePane="bottomRight" state="frozen"/>
      <selection pane="topRight" activeCell="C1" sqref="C1"/>
      <selection pane="bottomLeft" activeCell="A9" sqref="A9"/>
      <selection pane="bottomRight" activeCell="T12" sqref="T12"/>
    </sheetView>
  </sheetViews>
  <sheetFormatPr baseColWidth="10" defaultColWidth="14.42578125" defaultRowHeight="15" customHeight="1"/>
  <cols>
    <col min="1" max="1" width="6.7109375" customWidth="1"/>
    <col min="2" max="2" width="47.5703125" customWidth="1"/>
    <col min="3" max="3" width="6.7109375" customWidth="1"/>
    <col min="4" max="11" width="5.7109375" customWidth="1"/>
    <col min="12" max="12" width="6.140625" customWidth="1"/>
    <col min="13" max="16" width="5.7109375" hidden="1" customWidth="1"/>
    <col min="17" max="17" width="0.140625" customWidth="1"/>
    <col min="18" max="18" width="5.7109375" customWidth="1"/>
    <col min="19" max="19" width="7.42578125" customWidth="1"/>
    <col min="20" max="24" width="9.85546875" customWidth="1"/>
    <col min="25" max="25" width="9" customWidth="1"/>
    <col min="26" max="30" width="10" customWidth="1"/>
    <col min="31" max="31" width="6.7109375" customWidth="1"/>
    <col min="32" max="33" width="6.7109375" style="45" customWidth="1"/>
  </cols>
  <sheetData>
    <row r="1" spans="1:33" ht="22.5" customHeight="1" thickBot="1">
      <c r="A1" s="20"/>
      <c r="B1" s="23"/>
      <c r="C1" s="174" t="s">
        <v>5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6"/>
      <c r="S1" s="177" t="s">
        <v>7</v>
      </c>
      <c r="T1" s="175"/>
      <c r="U1" s="175"/>
      <c r="V1" s="175"/>
      <c r="W1" s="175"/>
      <c r="X1" s="176"/>
      <c r="Y1" s="178" t="s">
        <v>6</v>
      </c>
      <c r="Z1" s="179"/>
      <c r="AA1" s="179"/>
      <c r="AB1" s="179"/>
      <c r="AC1" s="179"/>
      <c r="AD1" s="180"/>
      <c r="AE1" s="181" t="s">
        <v>49</v>
      </c>
      <c r="AF1" s="186" t="s">
        <v>8</v>
      </c>
      <c r="AG1" s="159" t="s">
        <v>50</v>
      </c>
    </row>
    <row r="2" spans="1:33" ht="18" customHeight="1" thickBot="1">
      <c r="A2" s="24"/>
      <c r="B2" s="27"/>
      <c r="C2" s="25" t="s">
        <v>44</v>
      </c>
      <c r="D2" s="163" t="s">
        <v>45</v>
      </c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5"/>
      <c r="S2" s="26" t="s">
        <v>44</v>
      </c>
      <c r="T2" s="166" t="s">
        <v>45</v>
      </c>
      <c r="U2" s="167"/>
      <c r="V2" s="167"/>
      <c r="W2" s="167"/>
      <c r="X2" s="168"/>
      <c r="Y2" s="33" t="s">
        <v>44</v>
      </c>
      <c r="Z2" s="169" t="s">
        <v>45</v>
      </c>
      <c r="AA2" s="170"/>
      <c r="AB2" s="170"/>
      <c r="AC2" s="170"/>
      <c r="AD2" s="171"/>
      <c r="AE2" s="182"/>
      <c r="AF2" s="187"/>
      <c r="AG2" s="160"/>
    </row>
    <row r="3" spans="1:33" ht="17.25" customHeight="1">
      <c r="A3" s="139" t="str">
        <f>CONCATENATE(INICIO!B7," ",INICIO!C7)</f>
        <v xml:space="preserve">SEDE: </v>
      </c>
      <c r="B3" s="140"/>
      <c r="C3" s="16" t="s">
        <v>39</v>
      </c>
      <c r="D3" s="151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3"/>
      <c r="S3" s="13" t="s">
        <v>39</v>
      </c>
      <c r="T3" s="154"/>
      <c r="U3" s="155"/>
      <c r="V3" s="155"/>
      <c r="W3" s="155"/>
      <c r="X3" s="156"/>
      <c r="Y3" s="34" t="s">
        <v>39</v>
      </c>
      <c r="Z3" s="157"/>
      <c r="AA3" s="157"/>
      <c r="AB3" s="157"/>
      <c r="AC3" s="157"/>
      <c r="AD3" s="158"/>
      <c r="AE3" s="183"/>
      <c r="AF3" s="188"/>
      <c r="AG3" s="161"/>
    </row>
    <row r="4" spans="1:33" ht="17.25" customHeight="1">
      <c r="A4" s="139" t="str">
        <f>CONCATENATE(INICIO!D7," ",INICIO!E7)</f>
        <v xml:space="preserve">DOCENTE: </v>
      </c>
      <c r="B4" s="140"/>
      <c r="C4" s="17" t="s">
        <v>10</v>
      </c>
      <c r="D4" s="141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3"/>
      <c r="S4" s="14" t="s">
        <v>40</v>
      </c>
      <c r="T4" s="144"/>
      <c r="U4" s="145"/>
      <c r="V4" s="145"/>
      <c r="W4" s="145"/>
      <c r="X4" s="146"/>
      <c r="Y4" s="35" t="s">
        <v>40</v>
      </c>
      <c r="Z4" s="147"/>
      <c r="AA4" s="147"/>
      <c r="AB4" s="147"/>
      <c r="AC4" s="147"/>
      <c r="AD4" s="148"/>
      <c r="AE4" s="183"/>
      <c r="AF4" s="188"/>
      <c r="AG4" s="161"/>
    </row>
    <row r="5" spans="1:33" ht="17.25" customHeight="1">
      <c r="A5" s="139" t="str">
        <f>CONCATENATE(INICIO!B8," ",INICIO!C8)</f>
        <v xml:space="preserve">ASIGNATURA: </v>
      </c>
      <c r="B5" s="140"/>
      <c r="C5" s="17" t="s">
        <v>14</v>
      </c>
      <c r="D5" s="141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3"/>
      <c r="S5" s="14" t="s">
        <v>41</v>
      </c>
      <c r="T5" s="144"/>
      <c r="U5" s="145"/>
      <c r="V5" s="145"/>
      <c r="W5" s="145"/>
      <c r="X5" s="146"/>
      <c r="Y5" s="35" t="s">
        <v>41</v>
      </c>
      <c r="Z5" s="147"/>
      <c r="AA5" s="147"/>
      <c r="AB5" s="147"/>
      <c r="AC5" s="147"/>
      <c r="AD5" s="148"/>
      <c r="AE5" s="183"/>
      <c r="AF5" s="188"/>
      <c r="AG5" s="161"/>
    </row>
    <row r="6" spans="1:33" ht="17.25" customHeight="1" thickBot="1">
      <c r="A6" s="149" t="str">
        <f>CONCATENATE(INICIO!D8,INICIO!E8,"  ",INICIO!F8,INICIO!G8)</f>
        <v>GRADO:  GRUPO:</v>
      </c>
      <c r="B6" s="150"/>
      <c r="C6" s="17" t="s">
        <v>12</v>
      </c>
      <c r="D6" s="141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3"/>
      <c r="S6" s="14" t="s">
        <v>42</v>
      </c>
      <c r="T6" s="144"/>
      <c r="U6" s="145"/>
      <c r="V6" s="145"/>
      <c r="W6" s="145"/>
      <c r="X6" s="146"/>
      <c r="Y6" s="35" t="s">
        <v>42</v>
      </c>
      <c r="Z6" s="147"/>
      <c r="AA6" s="147"/>
      <c r="AB6" s="147"/>
      <c r="AC6" s="147"/>
      <c r="AD6" s="148"/>
      <c r="AE6" s="183"/>
      <c r="AF6" s="188"/>
      <c r="AG6" s="161"/>
    </row>
    <row r="7" spans="1:33" ht="17.25" customHeight="1" thickBot="1">
      <c r="A7" s="115" t="s">
        <v>52</v>
      </c>
      <c r="B7" s="116"/>
      <c r="C7" s="18" t="s">
        <v>13</v>
      </c>
      <c r="D7" s="119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1"/>
      <c r="S7" s="15" t="s">
        <v>43</v>
      </c>
      <c r="T7" s="122"/>
      <c r="U7" s="123"/>
      <c r="V7" s="123"/>
      <c r="W7" s="123"/>
      <c r="X7" s="124"/>
      <c r="Y7" s="36" t="s">
        <v>43</v>
      </c>
      <c r="Z7" s="125"/>
      <c r="AA7" s="125"/>
      <c r="AB7" s="125"/>
      <c r="AC7" s="125"/>
      <c r="AD7" s="126"/>
      <c r="AE7" s="183"/>
      <c r="AF7" s="188"/>
      <c r="AG7" s="161"/>
    </row>
    <row r="8" spans="1:33" ht="17.25" customHeight="1" thickBot="1">
      <c r="A8" s="117"/>
      <c r="B8" s="118"/>
      <c r="C8" s="127" t="s">
        <v>9</v>
      </c>
      <c r="D8" s="128"/>
      <c r="E8" s="129" t="s">
        <v>10</v>
      </c>
      <c r="F8" s="128"/>
      <c r="G8" s="130" t="s">
        <v>11</v>
      </c>
      <c r="H8" s="128"/>
      <c r="I8" s="129" t="s">
        <v>12</v>
      </c>
      <c r="J8" s="128"/>
      <c r="K8" s="130" t="s">
        <v>13</v>
      </c>
      <c r="L8" s="128"/>
      <c r="M8" s="12"/>
      <c r="N8" s="12"/>
      <c r="O8" s="12"/>
      <c r="P8" s="12"/>
      <c r="Q8" s="12"/>
      <c r="R8" s="131" t="s">
        <v>38</v>
      </c>
      <c r="S8" s="172" t="s">
        <v>9</v>
      </c>
      <c r="T8" s="133" t="s">
        <v>10</v>
      </c>
      <c r="U8" s="135" t="s">
        <v>14</v>
      </c>
      <c r="V8" s="133" t="s">
        <v>12</v>
      </c>
      <c r="W8" s="135" t="s">
        <v>15</v>
      </c>
      <c r="X8" s="136" t="s">
        <v>38</v>
      </c>
      <c r="Y8" s="190" t="s">
        <v>9</v>
      </c>
      <c r="Z8" s="138" t="s">
        <v>10</v>
      </c>
      <c r="AA8" s="190" t="s">
        <v>14</v>
      </c>
      <c r="AB8" s="138" t="s">
        <v>12</v>
      </c>
      <c r="AC8" s="190" t="s">
        <v>15</v>
      </c>
      <c r="AD8" s="191" t="s">
        <v>38</v>
      </c>
      <c r="AE8" s="184"/>
      <c r="AF8" s="188"/>
      <c r="AG8" s="161"/>
    </row>
    <row r="9" spans="1:33" ht="13.5" customHeight="1" thickBot="1">
      <c r="A9" s="30" t="s">
        <v>3</v>
      </c>
      <c r="B9" s="31" t="s">
        <v>4</v>
      </c>
      <c r="C9" s="19" t="s">
        <v>16</v>
      </c>
      <c r="D9" s="9" t="s">
        <v>17</v>
      </c>
      <c r="E9" s="10" t="s">
        <v>16</v>
      </c>
      <c r="F9" s="10" t="s">
        <v>17</v>
      </c>
      <c r="G9" s="9" t="s">
        <v>16</v>
      </c>
      <c r="H9" s="9" t="s">
        <v>17</v>
      </c>
      <c r="I9" s="10" t="s">
        <v>16</v>
      </c>
      <c r="J9" s="10" t="s">
        <v>17</v>
      </c>
      <c r="K9" s="9" t="s">
        <v>16</v>
      </c>
      <c r="L9" s="9" t="s">
        <v>17</v>
      </c>
      <c r="M9" s="11" t="s">
        <v>18</v>
      </c>
      <c r="N9" s="11" t="s">
        <v>19</v>
      </c>
      <c r="O9" s="11" t="s">
        <v>20</v>
      </c>
      <c r="P9" s="11" t="s">
        <v>21</v>
      </c>
      <c r="Q9" s="11" t="s">
        <v>22</v>
      </c>
      <c r="R9" s="132"/>
      <c r="S9" s="173"/>
      <c r="T9" s="134"/>
      <c r="U9" s="134"/>
      <c r="V9" s="134"/>
      <c r="W9" s="134"/>
      <c r="X9" s="137"/>
      <c r="Y9" s="134"/>
      <c r="Z9" s="134"/>
      <c r="AA9" s="134"/>
      <c r="AB9" s="134"/>
      <c r="AC9" s="134"/>
      <c r="AD9" s="192"/>
      <c r="AE9" s="185"/>
      <c r="AF9" s="189"/>
      <c r="AG9" s="162"/>
    </row>
    <row r="10" spans="1:33" ht="15.75">
      <c r="A10" s="21">
        <v>1</v>
      </c>
      <c r="B10" s="66">
        <f>+'PERIODO 01'!B10</f>
        <v>0</v>
      </c>
      <c r="C10" s="47"/>
      <c r="D10" s="48"/>
      <c r="E10" s="49"/>
      <c r="F10" s="49"/>
      <c r="G10" s="48"/>
      <c r="H10" s="48"/>
      <c r="I10" s="49"/>
      <c r="J10" s="49"/>
      <c r="K10" s="48"/>
      <c r="L10" s="48"/>
      <c r="M10" s="8" t="str">
        <f t="shared" ref="M10:M49" si="0">IF(ISBLANK(C10),"",IF(C10&gt;D10,C10,D10))</f>
        <v/>
      </c>
      <c r="N10" s="8" t="str">
        <f t="shared" ref="N10:N49" si="1">IF(ISBLANK(E10)," ",IF(E10&gt;F10,E10,F10))</f>
        <v xml:space="preserve"> </v>
      </c>
      <c r="O10" s="8" t="str">
        <f t="shared" ref="O10:O49" si="2">IF(ISBLANK(G10),"",IF(G10&gt;H10,G10,H10))</f>
        <v/>
      </c>
      <c r="P10" s="8" t="str">
        <f t="shared" ref="P10:P49" si="3">IF(ISBLANK(I10),"",IF(I10&gt;J10,I10,J10))</f>
        <v/>
      </c>
      <c r="Q10" s="8" t="str">
        <f t="shared" ref="Q10:Q49" si="4">IF(ISBLANK(K10),"",IF(K10&gt;L10,K10,L10))</f>
        <v/>
      </c>
      <c r="R10" s="37" t="e">
        <f t="shared" ref="R10:R49" si="5">AVERAGE(M10:Q10)</f>
        <v>#DIV/0!</v>
      </c>
      <c r="S10" s="54"/>
      <c r="T10" s="55"/>
      <c r="U10" s="54"/>
      <c r="V10" s="55"/>
      <c r="W10" s="54"/>
      <c r="X10" s="39" t="e">
        <f t="shared" ref="X10:X49" si="6">AVERAGE(S10:W10)</f>
        <v>#DIV/0!</v>
      </c>
      <c r="Y10" s="58"/>
      <c r="Z10" s="59"/>
      <c r="AA10" s="58"/>
      <c r="AB10" s="59"/>
      <c r="AC10" s="58"/>
      <c r="AD10" s="41" t="e">
        <f t="shared" ref="AD10:AD49" si="7">AVERAGE(Y10:AC10)</f>
        <v>#DIV/0!</v>
      </c>
      <c r="AE10" s="43" t="e">
        <f>R10*0.5+X10*0.3+AD10*0.2</f>
        <v>#DIV/0!</v>
      </c>
      <c r="AF10" s="62"/>
      <c r="AG10" s="64" t="e">
        <f t="shared" ref="AG10:AG49" si="8">IF(AE10&gt;AF10,AE10,AF10)</f>
        <v>#DIV/0!</v>
      </c>
    </row>
    <row r="11" spans="1:33" ht="15.75">
      <c r="A11" s="21">
        <v>2</v>
      </c>
      <c r="B11" s="66">
        <f>+'PERIODO 01'!B11</f>
        <v>0</v>
      </c>
      <c r="C11" s="51"/>
      <c r="D11" s="52"/>
      <c r="E11" s="53"/>
      <c r="F11" s="53"/>
      <c r="G11" s="52"/>
      <c r="H11" s="52"/>
      <c r="I11" s="53"/>
      <c r="J11" s="53"/>
      <c r="K11" s="52"/>
      <c r="L11" s="52"/>
      <c r="M11" s="3" t="str">
        <f t="shared" si="0"/>
        <v/>
      </c>
      <c r="N11" s="3" t="str">
        <f t="shared" si="1"/>
        <v xml:space="preserve"> </v>
      </c>
      <c r="O11" s="3" t="str">
        <f t="shared" si="2"/>
        <v/>
      </c>
      <c r="P11" s="3" t="str">
        <f t="shared" si="3"/>
        <v/>
      </c>
      <c r="Q11" s="3" t="str">
        <f t="shared" si="4"/>
        <v/>
      </c>
      <c r="R11" s="38" t="e">
        <f t="shared" si="5"/>
        <v>#DIV/0!</v>
      </c>
      <c r="S11" s="56"/>
      <c r="T11" s="57"/>
      <c r="U11" s="56"/>
      <c r="V11" s="57"/>
      <c r="W11" s="56"/>
      <c r="X11" s="40" t="e">
        <f t="shared" si="6"/>
        <v>#DIV/0!</v>
      </c>
      <c r="Y11" s="60"/>
      <c r="Z11" s="61"/>
      <c r="AA11" s="60"/>
      <c r="AB11" s="61"/>
      <c r="AC11" s="60"/>
      <c r="AD11" s="42" t="e">
        <f t="shared" si="7"/>
        <v>#DIV/0!</v>
      </c>
      <c r="AE11" s="43" t="e">
        <f t="shared" ref="AE11:AE49" si="9">R11*0.5+X11*0.3+AD11*0.2</f>
        <v>#DIV/0!</v>
      </c>
      <c r="AF11" s="63"/>
      <c r="AG11" s="65" t="e">
        <f t="shared" si="8"/>
        <v>#DIV/0!</v>
      </c>
    </row>
    <row r="12" spans="1:33" ht="15.75">
      <c r="A12" s="21">
        <v>3</v>
      </c>
      <c r="B12" s="66">
        <f>+'PERIODO 01'!B12</f>
        <v>0</v>
      </c>
      <c r="C12" s="51"/>
      <c r="D12" s="52"/>
      <c r="E12" s="53"/>
      <c r="F12" s="53"/>
      <c r="G12" s="52"/>
      <c r="H12" s="52"/>
      <c r="I12" s="53"/>
      <c r="J12" s="53"/>
      <c r="K12" s="52"/>
      <c r="L12" s="52"/>
      <c r="M12" s="3" t="str">
        <f t="shared" si="0"/>
        <v/>
      </c>
      <c r="N12" s="3" t="str">
        <f t="shared" si="1"/>
        <v xml:space="preserve"> </v>
      </c>
      <c r="O12" s="3" t="str">
        <f t="shared" si="2"/>
        <v/>
      </c>
      <c r="P12" s="3" t="str">
        <f t="shared" si="3"/>
        <v/>
      </c>
      <c r="Q12" s="3" t="str">
        <f t="shared" si="4"/>
        <v/>
      </c>
      <c r="R12" s="38" t="e">
        <f t="shared" si="5"/>
        <v>#DIV/0!</v>
      </c>
      <c r="S12" s="56"/>
      <c r="T12" s="57"/>
      <c r="U12" s="56"/>
      <c r="V12" s="57"/>
      <c r="W12" s="56"/>
      <c r="X12" s="40" t="e">
        <f t="shared" si="6"/>
        <v>#DIV/0!</v>
      </c>
      <c r="Y12" s="60"/>
      <c r="Z12" s="61"/>
      <c r="AA12" s="60"/>
      <c r="AB12" s="61"/>
      <c r="AC12" s="60"/>
      <c r="AD12" s="42" t="e">
        <f t="shared" si="7"/>
        <v>#DIV/0!</v>
      </c>
      <c r="AE12" s="43" t="e">
        <f t="shared" si="9"/>
        <v>#DIV/0!</v>
      </c>
      <c r="AF12" s="63"/>
      <c r="AG12" s="65" t="e">
        <f t="shared" si="8"/>
        <v>#DIV/0!</v>
      </c>
    </row>
    <row r="13" spans="1:33" ht="15.75">
      <c r="A13" s="21">
        <v>4</v>
      </c>
      <c r="B13" s="66">
        <f>+'PERIODO 01'!B13</f>
        <v>0</v>
      </c>
      <c r="C13" s="51"/>
      <c r="D13" s="52"/>
      <c r="E13" s="53"/>
      <c r="F13" s="53"/>
      <c r="G13" s="52"/>
      <c r="H13" s="52"/>
      <c r="I13" s="53"/>
      <c r="J13" s="53"/>
      <c r="K13" s="52"/>
      <c r="L13" s="52"/>
      <c r="M13" s="3" t="str">
        <f t="shared" si="0"/>
        <v/>
      </c>
      <c r="N13" s="3" t="str">
        <f t="shared" si="1"/>
        <v xml:space="preserve"> </v>
      </c>
      <c r="O13" s="3" t="str">
        <f t="shared" si="2"/>
        <v/>
      </c>
      <c r="P13" s="3" t="str">
        <f t="shared" si="3"/>
        <v/>
      </c>
      <c r="Q13" s="3" t="str">
        <f t="shared" si="4"/>
        <v/>
      </c>
      <c r="R13" s="38" t="e">
        <f t="shared" si="5"/>
        <v>#DIV/0!</v>
      </c>
      <c r="S13" s="56"/>
      <c r="T13" s="57"/>
      <c r="U13" s="56"/>
      <c r="V13" s="57"/>
      <c r="W13" s="56"/>
      <c r="X13" s="40" t="e">
        <f t="shared" si="6"/>
        <v>#DIV/0!</v>
      </c>
      <c r="Y13" s="60"/>
      <c r="Z13" s="61"/>
      <c r="AA13" s="60"/>
      <c r="AB13" s="61"/>
      <c r="AC13" s="60"/>
      <c r="AD13" s="42" t="e">
        <f t="shared" si="7"/>
        <v>#DIV/0!</v>
      </c>
      <c r="AE13" s="43" t="e">
        <f t="shared" si="9"/>
        <v>#DIV/0!</v>
      </c>
      <c r="AF13" s="63"/>
      <c r="AG13" s="65" t="e">
        <f t="shared" si="8"/>
        <v>#DIV/0!</v>
      </c>
    </row>
    <row r="14" spans="1:33" ht="15.75">
      <c r="A14" s="21">
        <v>5</v>
      </c>
      <c r="B14" s="66">
        <f>+'PERIODO 01'!B14</f>
        <v>0</v>
      </c>
      <c r="C14" s="51"/>
      <c r="D14" s="52"/>
      <c r="E14" s="53"/>
      <c r="F14" s="53"/>
      <c r="G14" s="52"/>
      <c r="H14" s="52"/>
      <c r="I14" s="53"/>
      <c r="J14" s="53"/>
      <c r="K14" s="52"/>
      <c r="L14" s="52"/>
      <c r="M14" s="3" t="str">
        <f t="shared" si="0"/>
        <v/>
      </c>
      <c r="N14" s="3" t="str">
        <f t="shared" si="1"/>
        <v xml:space="preserve"> </v>
      </c>
      <c r="O14" s="3" t="str">
        <f t="shared" si="2"/>
        <v/>
      </c>
      <c r="P14" s="3" t="str">
        <f t="shared" si="3"/>
        <v/>
      </c>
      <c r="Q14" s="3" t="str">
        <f t="shared" si="4"/>
        <v/>
      </c>
      <c r="R14" s="38" t="e">
        <f t="shared" si="5"/>
        <v>#DIV/0!</v>
      </c>
      <c r="S14" s="56"/>
      <c r="T14" s="57"/>
      <c r="U14" s="56"/>
      <c r="V14" s="57"/>
      <c r="W14" s="56"/>
      <c r="X14" s="40" t="e">
        <f t="shared" si="6"/>
        <v>#DIV/0!</v>
      </c>
      <c r="Y14" s="60"/>
      <c r="Z14" s="61"/>
      <c r="AA14" s="60"/>
      <c r="AB14" s="61"/>
      <c r="AC14" s="60"/>
      <c r="AD14" s="42" t="e">
        <f t="shared" si="7"/>
        <v>#DIV/0!</v>
      </c>
      <c r="AE14" s="43" t="e">
        <f t="shared" si="9"/>
        <v>#DIV/0!</v>
      </c>
      <c r="AF14" s="63"/>
      <c r="AG14" s="65" t="e">
        <f t="shared" si="8"/>
        <v>#DIV/0!</v>
      </c>
    </row>
    <row r="15" spans="1:33" ht="15.75">
      <c r="A15" s="21">
        <v>6</v>
      </c>
      <c r="B15" s="66">
        <f>+'PERIODO 01'!B15</f>
        <v>0</v>
      </c>
      <c r="C15" s="51"/>
      <c r="D15" s="52"/>
      <c r="E15" s="53"/>
      <c r="F15" s="53"/>
      <c r="G15" s="52"/>
      <c r="H15" s="52"/>
      <c r="I15" s="53"/>
      <c r="J15" s="53"/>
      <c r="K15" s="52"/>
      <c r="L15" s="52"/>
      <c r="M15" s="3" t="str">
        <f t="shared" si="0"/>
        <v/>
      </c>
      <c r="N15" s="3" t="str">
        <f t="shared" si="1"/>
        <v xml:space="preserve"> </v>
      </c>
      <c r="O15" s="3" t="str">
        <f t="shared" si="2"/>
        <v/>
      </c>
      <c r="P15" s="3" t="str">
        <f t="shared" si="3"/>
        <v/>
      </c>
      <c r="Q15" s="3" t="str">
        <f t="shared" si="4"/>
        <v/>
      </c>
      <c r="R15" s="38" t="e">
        <f t="shared" si="5"/>
        <v>#DIV/0!</v>
      </c>
      <c r="S15" s="56"/>
      <c r="T15" s="57"/>
      <c r="U15" s="56"/>
      <c r="V15" s="57"/>
      <c r="W15" s="56"/>
      <c r="X15" s="40" t="e">
        <f t="shared" si="6"/>
        <v>#DIV/0!</v>
      </c>
      <c r="Y15" s="60"/>
      <c r="Z15" s="61"/>
      <c r="AA15" s="60"/>
      <c r="AB15" s="61"/>
      <c r="AC15" s="60"/>
      <c r="AD15" s="42" t="e">
        <f t="shared" si="7"/>
        <v>#DIV/0!</v>
      </c>
      <c r="AE15" s="43" t="e">
        <f t="shared" si="9"/>
        <v>#DIV/0!</v>
      </c>
      <c r="AF15" s="63"/>
      <c r="AG15" s="65" t="e">
        <f t="shared" si="8"/>
        <v>#DIV/0!</v>
      </c>
    </row>
    <row r="16" spans="1:33" ht="15.75">
      <c r="A16" s="21">
        <v>7</v>
      </c>
      <c r="B16" s="66">
        <f>+'PERIODO 01'!B16</f>
        <v>0</v>
      </c>
      <c r="C16" s="51"/>
      <c r="D16" s="52"/>
      <c r="E16" s="53"/>
      <c r="F16" s="53"/>
      <c r="G16" s="52"/>
      <c r="H16" s="52"/>
      <c r="I16" s="53"/>
      <c r="J16" s="53"/>
      <c r="K16" s="52"/>
      <c r="L16" s="52"/>
      <c r="M16" s="3" t="str">
        <f t="shared" si="0"/>
        <v/>
      </c>
      <c r="N16" s="3" t="str">
        <f t="shared" si="1"/>
        <v xml:space="preserve"> </v>
      </c>
      <c r="O16" s="3" t="str">
        <f t="shared" si="2"/>
        <v/>
      </c>
      <c r="P16" s="3" t="str">
        <f t="shared" si="3"/>
        <v/>
      </c>
      <c r="Q16" s="3" t="str">
        <f t="shared" si="4"/>
        <v/>
      </c>
      <c r="R16" s="38" t="e">
        <f t="shared" si="5"/>
        <v>#DIV/0!</v>
      </c>
      <c r="S16" s="56"/>
      <c r="T16" s="57"/>
      <c r="U16" s="56"/>
      <c r="V16" s="57"/>
      <c r="W16" s="56"/>
      <c r="X16" s="40" t="e">
        <f t="shared" si="6"/>
        <v>#DIV/0!</v>
      </c>
      <c r="Y16" s="60"/>
      <c r="Z16" s="61"/>
      <c r="AA16" s="60"/>
      <c r="AB16" s="61"/>
      <c r="AC16" s="60"/>
      <c r="AD16" s="42" t="e">
        <f t="shared" si="7"/>
        <v>#DIV/0!</v>
      </c>
      <c r="AE16" s="43" t="e">
        <f t="shared" si="9"/>
        <v>#DIV/0!</v>
      </c>
      <c r="AF16" s="63"/>
      <c r="AG16" s="65" t="e">
        <f t="shared" si="8"/>
        <v>#DIV/0!</v>
      </c>
    </row>
    <row r="17" spans="1:33" ht="15.75">
      <c r="A17" s="21">
        <v>8</v>
      </c>
      <c r="B17" s="66">
        <f>+'PERIODO 01'!B17</f>
        <v>0</v>
      </c>
      <c r="C17" s="51"/>
      <c r="D17" s="52"/>
      <c r="E17" s="53"/>
      <c r="F17" s="53"/>
      <c r="G17" s="52"/>
      <c r="H17" s="52"/>
      <c r="I17" s="53"/>
      <c r="J17" s="53"/>
      <c r="K17" s="52"/>
      <c r="L17" s="52"/>
      <c r="M17" s="3" t="str">
        <f t="shared" si="0"/>
        <v/>
      </c>
      <c r="N17" s="3" t="str">
        <f t="shared" si="1"/>
        <v xml:space="preserve"> </v>
      </c>
      <c r="O17" s="3" t="str">
        <f t="shared" si="2"/>
        <v/>
      </c>
      <c r="P17" s="3" t="str">
        <f t="shared" si="3"/>
        <v/>
      </c>
      <c r="Q17" s="3" t="str">
        <f t="shared" si="4"/>
        <v/>
      </c>
      <c r="R17" s="38" t="e">
        <f t="shared" si="5"/>
        <v>#DIV/0!</v>
      </c>
      <c r="S17" s="56"/>
      <c r="T17" s="57"/>
      <c r="U17" s="56"/>
      <c r="V17" s="57"/>
      <c r="W17" s="56"/>
      <c r="X17" s="40" t="e">
        <f t="shared" si="6"/>
        <v>#DIV/0!</v>
      </c>
      <c r="Y17" s="60"/>
      <c r="Z17" s="61"/>
      <c r="AA17" s="60"/>
      <c r="AB17" s="61"/>
      <c r="AC17" s="60"/>
      <c r="AD17" s="42" t="e">
        <f t="shared" si="7"/>
        <v>#DIV/0!</v>
      </c>
      <c r="AE17" s="43" t="e">
        <f t="shared" si="9"/>
        <v>#DIV/0!</v>
      </c>
      <c r="AF17" s="63"/>
      <c r="AG17" s="65" t="e">
        <f t="shared" si="8"/>
        <v>#DIV/0!</v>
      </c>
    </row>
    <row r="18" spans="1:33" ht="15.75">
      <c r="A18" s="21">
        <v>9</v>
      </c>
      <c r="B18" s="66">
        <f>+'PERIODO 01'!B18</f>
        <v>0</v>
      </c>
      <c r="C18" s="51"/>
      <c r="D18" s="52"/>
      <c r="E18" s="53"/>
      <c r="F18" s="53"/>
      <c r="G18" s="52"/>
      <c r="H18" s="52"/>
      <c r="I18" s="53"/>
      <c r="J18" s="53"/>
      <c r="K18" s="52"/>
      <c r="L18" s="52"/>
      <c r="M18" s="3" t="str">
        <f t="shared" si="0"/>
        <v/>
      </c>
      <c r="N18" s="3" t="str">
        <f t="shared" si="1"/>
        <v xml:space="preserve"> </v>
      </c>
      <c r="O18" s="3" t="str">
        <f t="shared" si="2"/>
        <v/>
      </c>
      <c r="P18" s="3" t="str">
        <f t="shared" si="3"/>
        <v/>
      </c>
      <c r="Q18" s="3" t="str">
        <f t="shared" si="4"/>
        <v/>
      </c>
      <c r="R18" s="38" t="e">
        <f t="shared" si="5"/>
        <v>#DIV/0!</v>
      </c>
      <c r="S18" s="56"/>
      <c r="T18" s="57"/>
      <c r="U18" s="56"/>
      <c r="V18" s="57"/>
      <c r="W18" s="56"/>
      <c r="X18" s="40" t="e">
        <f t="shared" si="6"/>
        <v>#DIV/0!</v>
      </c>
      <c r="Y18" s="60"/>
      <c r="Z18" s="61"/>
      <c r="AA18" s="60"/>
      <c r="AB18" s="61"/>
      <c r="AC18" s="60"/>
      <c r="AD18" s="42" t="e">
        <f t="shared" si="7"/>
        <v>#DIV/0!</v>
      </c>
      <c r="AE18" s="43" t="e">
        <f t="shared" si="9"/>
        <v>#DIV/0!</v>
      </c>
      <c r="AF18" s="63"/>
      <c r="AG18" s="65" t="e">
        <f t="shared" si="8"/>
        <v>#DIV/0!</v>
      </c>
    </row>
    <row r="19" spans="1:33" ht="15.75">
      <c r="A19" s="21">
        <v>10</v>
      </c>
      <c r="B19" s="66">
        <f>+'PERIODO 01'!B19</f>
        <v>0</v>
      </c>
      <c r="C19" s="51"/>
      <c r="D19" s="52"/>
      <c r="E19" s="53"/>
      <c r="F19" s="53"/>
      <c r="G19" s="52"/>
      <c r="H19" s="52"/>
      <c r="I19" s="53"/>
      <c r="J19" s="53"/>
      <c r="K19" s="52"/>
      <c r="L19" s="52"/>
      <c r="M19" s="3" t="str">
        <f t="shared" si="0"/>
        <v/>
      </c>
      <c r="N19" s="3" t="str">
        <f t="shared" si="1"/>
        <v xml:space="preserve"> </v>
      </c>
      <c r="O19" s="3" t="str">
        <f t="shared" si="2"/>
        <v/>
      </c>
      <c r="P19" s="3" t="str">
        <f t="shared" si="3"/>
        <v/>
      </c>
      <c r="Q19" s="3" t="str">
        <f t="shared" si="4"/>
        <v/>
      </c>
      <c r="R19" s="38" t="e">
        <f t="shared" si="5"/>
        <v>#DIV/0!</v>
      </c>
      <c r="S19" s="56"/>
      <c r="T19" s="57"/>
      <c r="U19" s="56"/>
      <c r="V19" s="57"/>
      <c r="W19" s="56"/>
      <c r="X19" s="40" t="e">
        <f t="shared" si="6"/>
        <v>#DIV/0!</v>
      </c>
      <c r="Y19" s="60"/>
      <c r="Z19" s="61"/>
      <c r="AA19" s="60"/>
      <c r="AB19" s="61"/>
      <c r="AC19" s="60"/>
      <c r="AD19" s="42" t="e">
        <f t="shared" si="7"/>
        <v>#DIV/0!</v>
      </c>
      <c r="AE19" s="43" t="e">
        <f t="shared" si="9"/>
        <v>#DIV/0!</v>
      </c>
      <c r="AF19" s="63"/>
      <c r="AG19" s="65" t="e">
        <f t="shared" si="8"/>
        <v>#DIV/0!</v>
      </c>
    </row>
    <row r="20" spans="1:33" ht="15.75">
      <c r="A20" s="21">
        <v>11</v>
      </c>
      <c r="B20" s="66">
        <f>+'PERIODO 01'!B20</f>
        <v>0</v>
      </c>
      <c r="C20" s="51"/>
      <c r="D20" s="52"/>
      <c r="E20" s="53"/>
      <c r="F20" s="53"/>
      <c r="G20" s="52"/>
      <c r="H20" s="52"/>
      <c r="I20" s="53"/>
      <c r="J20" s="53"/>
      <c r="K20" s="52"/>
      <c r="L20" s="52"/>
      <c r="M20" s="3" t="str">
        <f t="shared" si="0"/>
        <v/>
      </c>
      <c r="N20" s="3" t="str">
        <f t="shared" si="1"/>
        <v xml:space="preserve"> </v>
      </c>
      <c r="O20" s="3" t="str">
        <f t="shared" si="2"/>
        <v/>
      </c>
      <c r="P20" s="3" t="str">
        <f t="shared" si="3"/>
        <v/>
      </c>
      <c r="Q20" s="3" t="str">
        <f t="shared" si="4"/>
        <v/>
      </c>
      <c r="R20" s="38" t="e">
        <f t="shared" si="5"/>
        <v>#DIV/0!</v>
      </c>
      <c r="S20" s="56"/>
      <c r="T20" s="57"/>
      <c r="U20" s="56"/>
      <c r="V20" s="57"/>
      <c r="W20" s="56"/>
      <c r="X20" s="40" t="e">
        <f t="shared" si="6"/>
        <v>#DIV/0!</v>
      </c>
      <c r="Y20" s="60"/>
      <c r="Z20" s="61"/>
      <c r="AA20" s="60"/>
      <c r="AB20" s="61"/>
      <c r="AC20" s="60"/>
      <c r="AD20" s="42" t="e">
        <f t="shared" si="7"/>
        <v>#DIV/0!</v>
      </c>
      <c r="AE20" s="43" t="e">
        <f t="shared" si="9"/>
        <v>#DIV/0!</v>
      </c>
      <c r="AF20" s="63"/>
      <c r="AG20" s="65" t="e">
        <f t="shared" si="8"/>
        <v>#DIV/0!</v>
      </c>
    </row>
    <row r="21" spans="1:33" ht="15.75">
      <c r="A21" s="21">
        <v>12</v>
      </c>
      <c r="B21" s="66">
        <f>+'PERIODO 01'!B21</f>
        <v>0</v>
      </c>
      <c r="C21" s="51"/>
      <c r="D21" s="52"/>
      <c r="E21" s="53"/>
      <c r="F21" s="53"/>
      <c r="G21" s="52"/>
      <c r="H21" s="52"/>
      <c r="I21" s="53"/>
      <c r="J21" s="53"/>
      <c r="K21" s="52"/>
      <c r="L21" s="52"/>
      <c r="M21" s="3" t="str">
        <f t="shared" si="0"/>
        <v/>
      </c>
      <c r="N21" s="3" t="str">
        <f t="shared" si="1"/>
        <v xml:space="preserve"> </v>
      </c>
      <c r="O21" s="3" t="str">
        <f t="shared" si="2"/>
        <v/>
      </c>
      <c r="P21" s="3" t="str">
        <f t="shared" si="3"/>
        <v/>
      </c>
      <c r="Q21" s="3" t="str">
        <f t="shared" si="4"/>
        <v/>
      </c>
      <c r="R21" s="38" t="e">
        <f t="shared" si="5"/>
        <v>#DIV/0!</v>
      </c>
      <c r="S21" s="56"/>
      <c r="T21" s="57"/>
      <c r="U21" s="56"/>
      <c r="V21" s="57"/>
      <c r="W21" s="56"/>
      <c r="X21" s="40" t="e">
        <f t="shared" si="6"/>
        <v>#DIV/0!</v>
      </c>
      <c r="Y21" s="60"/>
      <c r="Z21" s="61"/>
      <c r="AA21" s="60"/>
      <c r="AB21" s="61"/>
      <c r="AC21" s="60"/>
      <c r="AD21" s="42" t="e">
        <f t="shared" si="7"/>
        <v>#DIV/0!</v>
      </c>
      <c r="AE21" s="43" t="e">
        <f t="shared" si="9"/>
        <v>#DIV/0!</v>
      </c>
      <c r="AF21" s="63"/>
      <c r="AG21" s="65" t="e">
        <f t="shared" si="8"/>
        <v>#DIV/0!</v>
      </c>
    </row>
    <row r="22" spans="1:33" ht="15.75">
      <c r="A22" s="21">
        <v>13</v>
      </c>
      <c r="B22" s="66">
        <f>+'PERIODO 01'!B22</f>
        <v>0</v>
      </c>
      <c r="C22" s="51"/>
      <c r="D22" s="52"/>
      <c r="E22" s="53"/>
      <c r="F22" s="53"/>
      <c r="G22" s="52"/>
      <c r="H22" s="52"/>
      <c r="I22" s="53"/>
      <c r="J22" s="53"/>
      <c r="K22" s="52"/>
      <c r="L22" s="52"/>
      <c r="M22" s="3" t="str">
        <f t="shared" si="0"/>
        <v/>
      </c>
      <c r="N22" s="3" t="str">
        <f t="shared" si="1"/>
        <v xml:space="preserve"> </v>
      </c>
      <c r="O22" s="3" t="str">
        <f t="shared" si="2"/>
        <v/>
      </c>
      <c r="P22" s="3" t="str">
        <f t="shared" si="3"/>
        <v/>
      </c>
      <c r="Q22" s="3" t="str">
        <f t="shared" si="4"/>
        <v/>
      </c>
      <c r="R22" s="38" t="e">
        <f t="shared" si="5"/>
        <v>#DIV/0!</v>
      </c>
      <c r="S22" s="56"/>
      <c r="T22" s="57"/>
      <c r="U22" s="56"/>
      <c r="V22" s="57"/>
      <c r="W22" s="56"/>
      <c r="X22" s="40" t="e">
        <f t="shared" si="6"/>
        <v>#DIV/0!</v>
      </c>
      <c r="Y22" s="60"/>
      <c r="Z22" s="61"/>
      <c r="AA22" s="60"/>
      <c r="AB22" s="61"/>
      <c r="AC22" s="60"/>
      <c r="AD22" s="42" t="e">
        <f t="shared" si="7"/>
        <v>#DIV/0!</v>
      </c>
      <c r="AE22" s="43" t="e">
        <f t="shared" si="9"/>
        <v>#DIV/0!</v>
      </c>
      <c r="AF22" s="63"/>
      <c r="AG22" s="65" t="e">
        <f t="shared" si="8"/>
        <v>#DIV/0!</v>
      </c>
    </row>
    <row r="23" spans="1:33" ht="15.75" customHeight="1">
      <c r="A23" s="21">
        <v>14</v>
      </c>
      <c r="B23" s="66">
        <f>+'PERIODO 01'!B23</f>
        <v>0</v>
      </c>
      <c r="C23" s="51"/>
      <c r="D23" s="52"/>
      <c r="E23" s="53"/>
      <c r="F23" s="53"/>
      <c r="G23" s="52"/>
      <c r="H23" s="52"/>
      <c r="I23" s="53"/>
      <c r="J23" s="53"/>
      <c r="K23" s="52"/>
      <c r="L23" s="52"/>
      <c r="M23" s="3" t="str">
        <f t="shared" si="0"/>
        <v/>
      </c>
      <c r="N23" s="3" t="str">
        <f t="shared" si="1"/>
        <v xml:space="preserve"> </v>
      </c>
      <c r="O23" s="3" t="str">
        <f t="shared" si="2"/>
        <v/>
      </c>
      <c r="P23" s="3" t="str">
        <f t="shared" si="3"/>
        <v/>
      </c>
      <c r="Q23" s="3" t="str">
        <f t="shared" si="4"/>
        <v/>
      </c>
      <c r="R23" s="38" t="e">
        <f t="shared" si="5"/>
        <v>#DIV/0!</v>
      </c>
      <c r="S23" s="56"/>
      <c r="T23" s="57"/>
      <c r="U23" s="56"/>
      <c r="V23" s="57"/>
      <c r="W23" s="56"/>
      <c r="X23" s="40" t="e">
        <f t="shared" si="6"/>
        <v>#DIV/0!</v>
      </c>
      <c r="Y23" s="60"/>
      <c r="Z23" s="61"/>
      <c r="AA23" s="60"/>
      <c r="AB23" s="61"/>
      <c r="AC23" s="60"/>
      <c r="AD23" s="42" t="e">
        <f t="shared" si="7"/>
        <v>#DIV/0!</v>
      </c>
      <c r="AE23" s="43" t="e">
        <f t="shared" si="9"/>
        <v>#DIV/0!</v>
      </c>
      <c r="AF23" s="63"/>
      <c r="AG23" s="65" t="e">
        <f t="shared" si="8"/>
        <v>#DIV/0!</v>
      </c>
    </row>
    <row r="24" spans="1:33" ht="15.75" customHeight="1">
      <c r="A24" s="21">
        <v>15</v>
      </c>
      <c r="B24" s="66">
        <f>+'PERIODO 01'!B24</f>
        <v>0</v>
      </c>
      <c r="C24" s="51"/>
      <c r="D24" s="52"/>
      <c r="E24" s="53"/>
      <c r="F24" s="53"/>
      <c r="G24" s="52"/>
      <c r="H24" s="52"/>
      <c r="I24" s="53"/>
      <c r="J24" s="53"/>
      <c r="K24" s="52"/>
      <c r="L24" s="52"/>
      <c r="M24" s="3" t="str">
        <f t="shared" si="0"/>
        <v/>
      </c>
      <c r="N24" s="3" t="str">
        <f t="shared" si="1"/>
        <v xml:space="preserve"> </v>
      </c>
      <c r="O24" s="3" t="str">
        <f t="shared" si="2"/>
        <v/>
      </c>
      <c r="P24" s="3" t="str">
        <f t="shared" si="3"/>
        <v/>
      </c>
      <c r="Q24" s="3" t="str">
        <f t="shared" si="4"/>
        <v/>
      </c>
      <c r="R24" s="38" t="e">
        <f t="shared" si="5"/>
        <v>#DIV/0!</v>
      </c>
      <c r="S24" s="56"/>
      <c r="T24" s="57"/>
      <c r="U24" s="56"/>
      <c r="V24" s="57"/>
      <c r="W24" s="56"/>
      <c r="X24" s="40" t="e">
        <f t="shared" si="6"/>
        <v>#DIV/0!</v>
      </c>
      <c r="Y24" s="60"/>
      <c r="Z24" s="61"/>
      <c r="AA24" s="60"/>
      <c r="AB24" s="61"/>
      <c r="AC24" s="60"/>
      <c r="AD24" s="42" t="e">
        <f t="shared" si="7"/>
        <v>#DIV/0!</v>
      </c>
      <c r="AE24" s="43" t="e">
        <f t="shared" si="9"/>
        <v>#DIV/0!</v>
      </c>
      <c r="AF24" s="63"/>
      <c r="AG24" s="65" t="e">
        <f t="shared" si="8"/>
        <v>#DIV/0!</v>
      </c>
    </row>
    <row r="25" spans="1:33" ht="15.75" customHeight="1">
      <c r="A25" s="21">
        <v>16</v>
      </c>
      <c r="B25" s="66">
        <f>+'PERIODO 01'!B25</f>
        <v>0</v>
      </c>
      <c r="C25" s="51"/>
      <c r="D25" s="52"/>
      <c r="E25" s="53"/>
      <c r="F25" s="53"/>
      <c r="G25" s="52"/>
      <c r="H25" s="52"/>
      <c r="I25" s="53"/>
      <c r="J25" s="53"/>
      <c r="K25" s="52"/>
      <c r="L25" s="52"/>
      <c r="M25" s="3" t="str">
        <f t="shared" si="0"/>
        <v/>
      </c>
      <c r="N25" s="3" t="str">
        <f t="shared" si="1"/>
        <v xml:space="preserve"> </v>
      </c>
      <c r="O25" s="3" t="str">
        <f t="shared" si="2"/>
        <v/>
      </c>
      <c r="P25" s="3" t="str">
        <f t="shared" si="3"/>
        <v/>
      </c>
      <c r="Q25" s="3" t="str">
        <f t="shared" si="4"/>
        <v/>
      </c>
      <c r="R25" s="38" t="e">
        <f t="shared" si="5"/>
        <v>#DIV/0!</v>
      </c>
      <c r="S25" s="56"/>
      <c r="T25" s="57"/>
      <c r="U25" s="56"/>
      <c r="V25" s="57"/>
      <c r="W25" s="56"/>
      <c r="X25" s="40" t="e">
        <f t="shared" si="6"/>
        <v>#DIV/0!</v>
      </c>
      <c r="Y25" s="60"/>
      <c r="Z25" s="61"/>
      <c r="AA25" s="60"/>
      <c r="AB25" s="61"/>
      <c r="AC25" s="60"/>
      <c r="AD25" s="42" t="e">
        <f t="shared" si="7"/>
        <v>#DIV/0!</v>
      </c>
      <c r="AE25" s="43" t="e">
        <f t="shared" si="9"/>
        <v>#DIV/0!</v>
      </c>
      <c r="AF25" s="63"/>
      <c r="AG25" s="65" t="e">
        <f t="shared" si="8"/>
        <v>#DIV/0!</v>
      </c>
    </row>
    <row r="26" spans="1:33" ht="15.75" customHeight="1">
      <c r="A26" s="21">
        <v>17</v>
      </c>
      <c r="B26" s="66">
        <f>+'PERIODO 01'!B26</f>
        <v>0</v>
      </c>
      <c r="C26" s="51"/>
      <c r="D26" s="52"/>
      <c r="E26" s="53"/>
      <c r="F26" s="53"/>
      <c r="G26" s="52"/>
      <c r="H26" s="52"/>
      <c r="I26" s="53"/>
      <c r="J26" s="53"/>
      <c r="K26" s="52"/>
      <c r="L26" s="52"/>
      <c r="M26" s="3" t="str">
        <f t="shared" si="0"/>
        <v/>
      </c>
      <c r="N26" s="3" t="str">
        <f t="shared" si="1"/>
        <v xml:space="preserve"> </v>
      </c>
      <c r="O26" s="3" t="str">
        <f t="shared" si="2"/>
        <v/>
      </c>
      <c r="P26" s="3" t="str">
        <f t="shared" si="3"/>
        <v/>
      </c>
      <c r="Q26" s="3" t="str">
        <f t="shared" si="4"/>
        <v/>
      </c>
      <c r="R26" s="38" t="e">
        <f t="shared" si="5"/>
        <v>#DIV/0!</v>
      </c>
      <c r="S26" s="56"/>
      <c r="T26" s="57"/>
      <c r="U26" s="56"/>
      <c r="V26" s="57"/>
      <c r="W26" s="56"/>
      <c r="X26" s="40" t="e">
        <f t="shared" si="6"/>
        <v>#DIV/0!</v>
      </c>
      <c r="Y26" s="60"/>
      <c r="Z26" s="61"/>
      <c r="AA26" s="60"/>
      <c r="AB26" s="61"/>
      <c r="AC26" s="60"/>
      <c r="AD26" s="42" t="e">
        <f t="shared" si="7"/>
        <v>#DIV/0!</v>
      </c>
      <c r="AE26" s="43" t="e">
        <f t="shared" si="9"/>
        <v>#DIV/0!</v>
      </c>
      <c r="AF26" s="63"/>
      <c r="AG26" s="65" t="e">
        <f t="shared" si="8"/>
        <v>#DIV/0!</v>
      </c>
    </row>
    <row r="27" spans="1:33" ht="15.75" customHeight="1">
      <c r="A27" s="21">
        <v>18</v>
      </c>
      <c r="B27" s="66">
        <f>+'PERIODO 01'!B27</f>
        <v>0</v>
      </c>
      <c r="C27" s="51"/>
      <c r="D27" s="52"/>
      <c r="E27" s="53"/>
      <c r="F27" s="53"/>
      <c r="G27" s="52"/>
      <c r="H27" s="52"/>
      <c r="I27" s="53"/>
      <c r="J27" s="53"/>
      <c r="K27" s="52"/>
      <c r="L27" s="52"/>
      <c r="M27" s="3" t="str">
        <f t="shared" si="0"/>
        <v/>
      </c>
      <c r="N27" s="3" t="str">
        <f t="shared" si="1"/>
        <v xml:space="preserve"> </v>
      </c>
      <c r="O27" s="3" t="str">
        <f t="shared" si="2"/>
        <v/>
      </c>
      <c r="P27" s="3" t="str">
        <f t="shared" si="3"/>
        <v/>
      </c>
      <c r="Q27" s="3" t="str">
        <f t="shared" si="4"/>
        <v/>
      </c>
      <c r="R27" s="38" t="e">
        <f t="shared" si="5"/>
        <v>#DIV/0!</v>
      </c>
      <c r="S27" s="56"/>
      <c r="T27" s="57"/>
      <c r="U27" s="56"/>
      <c r="V27" s="57"/>
      <c r="W27" s="56"/>
      <c r="X27" s="40" t="e">
        <f t="shared" si="6"/>
        <v>#DIV/0!</v>
      </c>
      <c r="Y27" s="60"/>
      <c r="Z27" s="61"/>
      <c r="AA27" s="60"/>
      <c r="AB27" s="61"/>
      <c r="AC27" s="60"/>
      <c r="AD27" s="42" t="e">
        <f t="shared" si="7"/>
        <v>#DIV/0!</v>
      </c>
      <c r="AE27" s="43" t="e">
        <f t="shared" si="9"/>
        <v>#DIV/0!</v>
      </c>
      <c r="AF27" s="63"/>
      <c r="AG27" s="65" t="e">
        <f t="shared" si="8"/>
        <v>#DIV/0!</v>
      </c>
    </row>
    <row r="28" spans="1:33" ht="15.75" customHeight="1">
      <c r="A28" s="21">
        <v>19</v>
      </c>
      <c r="B28" s="66">
        <f>+'PERIODO 01'!B28</f>
        <v>0</v>
      </c>
      <c r="C28" s="51"/>
      <c r="D28" s="52"/>
      <c r="E28" s="53"/>
      <c r="F28" s="53"/>
      <c r="G28" s="52"/>
      <c r="H28" s="52"/>
      <c r="I28" s="53"/>
      <c r="J28" s="53"/>
      <c r="K28" s="52"/>
      <c r="L28" s="52"/>
      <c r="M28" s="3" t="str">
        <f t="shared" si="0"/>
        <v/>
      </c>
      <c r="N28" s="3" t="str">
        <f t="shared" si="1"/>
        <v xml:space="preserve"> </v>
      </c>
      <c r="O28" s="3" t="str">
        <f t="shared" si="2"/>
        <v/>
      </c>
      <c r="P28" s="3" t="str">
        <f t="shared" si="3"/>
        <v/>
      </c>
      <c r="Q28" s="3" t="str">
        <f t="shared" si="4"/>
        <v/>
      </c>
      <c r="R28" s="38" t="e">
        <f t="shared" si="5"/>
        <v>#DIV/0!</v>
      </c>
      <c r="S28" s="56"/>
      <c r="T28" s="57"/>
      <c r="U28" s="56"/>
      <c r="V28" s="57"/>
      <c r="W28" s="56"/>
      <c r="X28" s="40" t="e">
        <f t="shared" si="6"/>
        <v>#DIV/0!</v>
      </c>
      <c r="Y28" s="60"/>
      <c r="Z28" s="61"/>
      <c r="AA28" s="60"/>
      <c r="AB28" s="61"/>
      <c r="AC28" s="60"/>
      <c r="AD28" s="42" t="e">
        <f t="shared" si="7"/>
        <v>#DIV/0!</v>
      </c>
      <c r="AE28" s="43" t="e">
        <f t="shared" si="9"/>
        <v>#DIV/0!</v>
      </c>
      <c r="AF28" s="63"/>
      <c r="AG28" s="65" t="e">
        <f t="shared" si="8"/>
        <v>#DIV/0!</v>
      </c>
    </row>
    <row r="29" spans="1:33" ht="15.75" customHeight="1">
      <c r="A29" s="21">
        <v>20</v>
      </c>
      <c r="B29" s="66">
        <f>+'PERIODO 01'!B29</f>
        <v>0</v>
      </c>
      <c r="C29" s="51"/>
      <c r="D29" s="52"/>
      <c r="E29" s="53"/>
      <c r="F29" s="53"/>
      <c r="G29" s="52"/>
      <c r="H29" s="52"/>
      <c r="I29" s="53"/>
      <c r="J29" s="53"/>
      <c r="K29" s="52"/>
      <c r="L29" s="52"/>
      <c r="M29" s="3" t="str">
        <f t="shared" si="0"/>
        <v/>
      </c>
      <c r="N29" s="3" t="str">
        <f t="shared" si="1"/>
        <v xml:space="preserve"> </v>
      </c>
      <c r="O29" s="3" t="str">
        <f t="shared" si="2"/>
        <v/>
      </c>
      <c r="P29" s="3" t="str">
        <f t="shared" si="3"/>
        <v/>
      </c>
      <c r="Q29" s="3" t="str">
        <f t="shared" si="4"/>
        <v/>
      </c>
      <c r="R29" s="38" t="e">
        <f t="shared" si="5"/>
        <v>#DIV/0!</v>
      </c>
      <c r="S29" s="56"/>
      <c r="T29" s="57"/>
      <c r="U29" s="56"/>
      <c r="V29" s="57"/>
      <c r="W29" s="56"/>
      <c r="X29" s="40" t="e">
        <f t="shared" si="6"/>
        <v>#DIV/0!</v>
      </c>
      <c r="Y29" s="60"/>
      <c r="Z29" s="61"/>
      <c r="AA29" s="60"/>
      <c r="AB29" s="61"/>
      <c r="AC29" s="60"/>
      <c r="AD29" s="42" t="e">
        <f t="shared" si="7"/>
        <v>#DIV/0!</v>
      </c>
      <c r="AE29" s="43" t="e">
        <f t="shared" si="9"/>
        <v>#DIV/0!</v>
      </c>
      <c r="AF29" s="63"/>
      <c r="AG29" s="65" t="e">
        <f t="shared" si="8"/>
        <v>#DIV/0!</v>
      </c>
    </row>
    <row r="30" spans="1:33" ht="15.75" customHeight="1">
      <c r="A30" s="21">
        <v>21</v>
      </c>
      <c r="B30" s="66">
        <f>+'PERIODO 01'!B30</f>
        <v>0</v>
      </c>
      <c r="C30" s="51"/>
      <c r="D30" s="52"/>
      <c r="E30" s="53"/>
      <c r="F30" s="53"/>
      <c r="G30" s="52"/>
      <c r="H30" s="52"/>
      <c r="I30" s="53"/>
      <c r="J30" s="53"/>
      <c r="K30" s="52"/>
      <c r="L30" s="52"/>
      <c r="M30" s="3" t="str">
        <f t="shared" si="0"/>
        <v/>
      </c>
      <c r="N30" s="3" t="str">
        <f t="shared" si="1"/>
        <v xml:space="preserve"> </v>
      </c>
      <c r="O30" s="3" t="str">
        <f t="shared" si="2"/>
        <v/>
      </c>
      <c r="P30" s="3" t="str">
        <f t="shared" si="3"/>
        <v/>
      </c>
      <c r="Q30" s="3" t="str">
        <f t="shared" si="4"/>
        <v/>
      </c>
      <c r="R30" s="38" t="e">
        <f t="shared" si="5"/>
        <v>#DIV/0!</v>
      </c>
      <c r="S30" s="56"/>
      <c r="T30" s="57"/>
      <c r="U30" s="56"/>
      <c r="V30" s="57"/>
      <c r="W30" s="56"/>
      <c r="X30" s="40" t="e">
        <f t="shared" si="6"/>
        <v>#DIV/0!</v>
      </c>
      <c r="Y30" s="60"/>
      <c r="Z30" s="61"/>
      <c r="AA30" s="60"/>
      <c r="AB30" s="61"/>
      <c r="AC30" s="60"/>
      <c r="AD30" s="42" t="e">
        <f t="shared" si="7"/>
        <v>#DIV/0!</v>
      </c>
      <c r="AE30" s="43" t="e">
        <f t="shared" si="9"/>
        <v>#DIV/0!</v>
      </c>
      <c r="AF30" s="63"/>
      <c r="AG30" s="65" t="e">
        <f t="shared" si="8"/>
        <v>#DIV/0!</v>
      </c>
    </row>
    <row r="31" spans="1:33" ht="15.75" customHeight="1">
      <c r="A31" s="21">
        <v>22</v>
      </c>
      <c r="B31" s="66">
        <f>+'PERIODO 01'!B31</f>
        <v>0</v>
      </c>
      <c r="C31" s="51"/>
      <c r="D31" s="52"/>
      <c r="E31" s="53"/>
      <c r="F31" s="53"/>
      <c r="G31" s="52"/>
      <c r="H31" s="52"/>
      <c r="I31" s="53"/>
      <c r="J31" s="53"/>
      <c r="K31" s="52"/>
      <c r="L31" s="52"/>
      <c r="M31" s="3" t="str">
        <f t="shared" si="0"/>
        <v/>
      </c>
      <c r="N31" s="3" t="str">
        <f t="shared" si="1"/>
        <v xml:space="preserve"> </v>
      </c>
      <c r="O31" s="3" t="str">
        <f t="shared" si="2"/>
        <v/>
      </c>
      <c r="P31" s="3" t="str">
        <f t="shared" si="3"/>
        <v/>
      </c>
      <c r="Q31" s="3" t="str">
        <f t="shared" si="4"/>
        <v/>
      </c>
      <c r="R31" s="38" t="e">
        <f t="shared" si="5"/>
        <v>#DIV/0!</v>
      </c>
      <c r="S31" s="56"/>
      <c r="T31" s="57"/>
      <c r="U31" s="56"/>
      <c r="V31" s="57"/>
      <c r="W31" s="56"/>
      <c r="X31" s="40" t="e">
        <f t="shared" si="6"/>
        <v>#DIV/0!</v>
      </c>
      <c r="Y31" s="60"/>
      <c r="Z31" s="61"/>
      <c r="AA31" s="60"/>
      <c r="AB31" s="61"/>
      <c r="AC31" s="60"/>
      <c r="AD31" s="42" t="e">
        <f t="shared" si="7"/>
        <v>#DIV/0!</v>
      </c>
      <c r="AE31" s="43" t="e">
        <f t="shared" si="9"/>
        <v>#DIV/0!</v>
      </c>
      <c r="AF31" s="63"/>
      <c r="AG31" s="65" t="e">
        <f t="shared" si="8"/>
        <v>#DIV/0!</v>
      </c>
    </row>
    <row r="32" spans="1:33" ht="15.75" customHeight="1">
      <c r="A32" s="21">
        <v>23</v>
      </c>
      <c r="B32" s="66">
        <f>+'PERIODO 01'!B32</f>
        <v>0</v>
      </c>
      <c r="C32" s="51"/>
      <c r="D32" s="52"/>
      <c r="E32" s="53"/>
      <c r="F32" s="53"/>
      <c r="G32" s="52"/>
      <c r="H32" s="52"/>
      <c r="I32" s="53"/>
      <c r="J32" s="53"/>
      <c r="K32" s="52"/>
      <c r="L32" s="52"/>
      <c r="M32" s="3" t="str">
        <f t="shared" si="0"/>
        <v/>
      </c>
      <c r="N32" s="3" t="str">
        <f t="shared" si="1"/>
        <v xml:space="preserve"> </v>
      </c>
      <c r="O32" s="3" t="str">
        <f t="shared" si="2"/>
        <v/>
      </c>
      <c r="P32" s="3" t="str">
        <f t="shared" si="3"/>
        <v/>
      </c>
      <c r="Q32" s="3" t="str">
        <f t="shared" si="4"/>
        <v/>
      </c>
      <c r="R32" s="38" t="e">
        <f t="shared" si="5"/>
        <v>#DIV/0!</v>
      </c>
      <c r="S32" s="56"/>
      <c r="T32" s="57"/>
      <c r="U32" s="56"/>
      <c r="V32" s="57"/>
      <c r="W32" s="56"/>
      <c r="X32" s="40" t="e">
        <f t="shared" si="6"/>
        <v>#DIV/0!</v>
      </c>
      <c r="Y32" s="60"/>
      <c r="Z32" s="61"/>
      <c r="AA32" s="60"/>
      <c r="AB32" s="61"/>
      <c r="AC32" s="60"/>
      <c r="AD32" s="42" t="e">
        <f t="shared" si="7"/>
        <v>#DIV/0!</v>
      </c>
      <c r="AE32" s="43" t="e">
        <f t="shared" si="9"/>
        <v>#DIV/0!</v>
      </c>
      <c r="AF32" s="63"/>
      <c r="AG32" s="65" t="e">
        <f t="shared" si="8"/>
        <v>#DIV/0!</v>
      </c>
    </row>
    <row r="33" spans="1:33" ht="15.75" customHeight="1">
      <c r="A33" s="21">
        <v>24</v>
      </c>
      <c r="B33" s="66">
        <f>+'PERIODO 01'!B33</f>
        <v>0</v>
      </c>
      <c r="C33" s="51"/>
      <c r="D33" s="52"/>
      <c r="E33" s="53"/>
      <c r="F33" s="53"/>
      <c r="G33" s="52"/>
      <c r="H33" s="52"/>
      <c r="I33" s="53"/>
      <c r="J33" s="53"/>
      <c r="K33" s="52"/>
      <c r="L33" s="52"/>
      <c r="M33" s="3" t="str">
        <f t="shared" si="0"/>
        <v/>
      </c>
      <c r="N33" s="3" t="str">
        <f t="shared" si="1"/>
        <v xml:space="preserve"> </v>
      </c>
      <c r="O33" s="3" t="str">
        <f t="shared" si="2"/>
        <v/>
      </c>
      <c r="P33" s="3" t="str">
        <f t="shared" si="3"/>
        <v/>
      </c>
      <c r="Q33" s="3" t="str">
        <f t="shared" si="4"/>
        <v/>
      </c>
      <c r="R33" s="38" t="e">
        <f t="shared" si="5"/>
        <v>#DIV/0!</v>
      </c>
      <c r="S33" s="56"/>
      <c r="T33" s="57"/>
      <c r="U33" s="56"/>
      <c r="V33" s="57"/>
      <c r="W33" s="56"/>
      <c r="X33" s="40" t="e">
        <f t="shared" si="6"/>
        <v>#DIV/0!</v>
      </c>
      <c r="Y33" s="60"/>
      <c r="Z33" s="61"/>
      <c r="AA33" s="60"/>
      <c r="AB33" s="61"/>
      <c r="AC33" s="60"/>
      <c r="AD33" s="42" t="e">
        <f t="shared" si="7"/>
        <v>#DIV/0!</v>
      </c>
      <c r="AE33" s="43" t="e">
        <f t="shared" si="9"/>
        <v>#DIV/0!</v>
      </c>
      <c r="AF33" s="63"/>
      <c r="AG33" s="65" t="e">
        <f t="shared" si="8"/>
        <v>#DIV/0!</v>
      </c>
    </row>
    <row r="34" spans="1:33" ht="15.75" customHeight="1">
      <c r="A34" s="21">
        <v>25</v>
      </c>
      <c r="B34" s="66">
        <f>+'PERIODO 01'!B34</f>
        <v>0</v>
      </c>
      <c r="C34" s="51"/>
      <c r="D34" s="52"/>
      <c r="E34" s="53"/>
      <c r="F34" s="53"/>
      <c r="G34" s="52"/>
      <c r="H34" s="52"/>
      <c r="I34" s="53"/>
      <c r="J34" s="53"/>
      <c r="K34" s="52"/>
      <c r="L34" s="52"/>
      <c r="M34" s="3" t="str">
        <f t="shared" si="0"/>
        <v/>
      </c>
      <c r="N34" s="3" t="str">
        <f t="shared" si="1"/>
        <v xml:space="preserve"> </v>
      </c>
      <c r="O34" s="3" t="str">
        <f t="shared" si="2"/>
        <v/>
      </c>
      <c r="P34" s="3" t="str">
        <f t="shared" si="3"/>
        <v/>
      </c>
      <c r="Q34" s="3" t="str">
        <f t="shared" si="4"/>
        <v/>
      </c>
      <c r="R34" s="38" t="e">
        <f t="shared" si="5"/>
        <v>#DIV/0!</v>
      </c>
      <c r="S34" s="56"/>
      <c r="T34" s="57"/>
      <c r="U34" s="56"/>
      <c r="V34" s="57"/>
      <c r="W34" s="56"/>
      <c r="X34" s="40" t="e">
        <f t="shared" si="6"/>
        <v>#DIV/0!</v>
      </c>
      <c r="Y34" s="60"/>
      <c r="Z34" s="61"/>
      <c r="AA34" s="60"/>
      <c r="AB34" s="61"/>
      <c r="AC34" s="60"/>
      <c r="AD34" s="42" t="e">
        <f t="shared" si="7"/>
        <v>#DIV/0!</v>
      </c>
      <c r="AE34" s="43" t="e">
        <f t="shared" si="9"/>
        <v>#DIV/0!</v>
      </c>
      <c r="AF34" s="63"/>
      <c r="AG34" s="65" t="e">
        <f t="shared" si="8"/>
        <v>#DIV/0!</v>
      </c>
    </row>
    <row r="35" spans="1:33" ht="15.75" customHeight="1">
      <c r="A35" s="21">
        <v>26</v>
      </c>
      <c r="B35" s="66">
        <f>+'PERIODO 01'!B35</f>
        <v>0</v>
      </c>
      <c r="C35" s="51"/>
      <c r="D35" s="52"/>
      <c r="E35" s="53"/>
      <c r="F35" s="53"/>
      <c r="G35" s="52"/>
      <c r="H35" s="52"/>
      <c r="I35" s="53"/>
      <c r="J35" s="53"/>
      <c r="K35" s="52"/>
      <c r="L35" s="52"/>
      <c r="M35" s="3" t="str">
        <f t="shared" si="0"/>
        <v/>
      </c>
      <c r="N35" s="3" t="str">
        <f t="shared" si="1"/>
        <v xml:space="preserve"> </v>
      </c>
      <c r="O35" s="3" t="str">
        <f t="shared" si="2"/>
        <v/>
      </c>
      <c r="P35" s="3" t="str">
        <f t="shared" si="3"/>
        <v/>
      </c>
      <c r="Q35" s="3" t="str">
        <f t="shared" si="4"/>
        <v/>
      </c>
      <c r="R35" s="38" t="e">
        <f t="shared" si="5"/>
        <v>#DIV/0!</v>
      </c>
      <c r="S35" s="56"/>
      <c r="T35" s="57"/>
      <c r="U35" s="56"/>
      <c r="V35" s="57"/>
      <c r="W35" s="56"/>
      <c r="X35" s="40" t="e">
        <f t="shared" si="6"/>
        <v>#DIV/0!</v>
      </c>
      <c r="Y35" s="60"/>
      <c r="Z35" s="61"/>
      <c r="AA35" s="60"/>
      <c r="AB35" s="61"/>
      <c r="AC35" s="60"/>
      <c r="AD35" s="42" t="e">
        <f t="shared" si="7"/>
        <v>#DIV/0!</v>
      </c>
      <c r="AE35" s="43" t="e">
        <f t="shared" si="9"/>
        <v>#DIV/0!</v>
      </c>
      <c r="AF35" s="63"/>
      <c r="AG35" s="65" t="e">
        <f t="shared" si="8"/>
        <v>#DIV/0!</v>
      </c>
    </row>
    <row r="36" spans="1:33" ht="15.75" customHeight="1">
      <c r="A36" s="21">
        <v>27</v>
      </c>
      <c r="B36" s="66">
        <f>+'PERIODO 01'!B36</f>
        <v>0</v>
      </c>
      <c r="C36" s="51"/>
      <c r="D36" s="52"/>
      <c r="E36" s="53"/>
      <c r="F36" s="53"/>
      <c r="G36" s="52"/>
      <c r="H36" s="52"/>
      <c r="I36" s="53"/>
      <c r="J36" s="53"/>
      <c r="K36" s="52"/>
      <c r="L36" s="52"/>
      <c r="M36" s="3" t="str">
        <f t="shared" si="0"/>
        <v/>
      </c>
      <c r="N36" s="3" t="str">
        <f t="shared" si="1"/>
        <v xml:space="preserve"> </v>
      </c>
      <c r="O36" s="3" t="str">
        <f t="shared" si="2"/>
        <v/>
      </c>
      <c r="P36" s="3" t="str">
        <f t="shared" si="3"/>
        <v/>
      </c>
      <c r="Q36" s="3" t="str">
        <f t="shared" si="4"/>
        <v/>
      </c>
      <c r="R36" s="38" t="e">
        <f t="shared" si="5"/>
        <v>#DIV/0!</v>
      </c>
      <c r="S36" s="56"/>
      <c r="T36" s="57"/>
      <c r="U36" s="56"/>
      <c r="V36" s="57"/>
      <c r="W36" s="56"/>
      <c r="X36" s="40" t="e">
        <f t="shared" si="6"/>
        <v>#DIV/0!</v>
      </c>
      <c r="Y36" s="60"/>
      <c r="Z36" s="61"/>
      <c r="AA36" s="60"/>
      <c r="AB36" s="61"/>
      <c r="AC36" s="60"/>
      <c r="AD36" s="42" t="e">
        <f t="shared" si="7"/>
        <v>#DIV/0!</v>
      </c>
      <c r="AE36" s="43" t="e">
        <f t="shared" si="9"/>
        <v>#DIV/0!</v>
      </c>
      <c r="AF36" s="63"/>
      <c r="AG36" s="65" t="e">
        <f t="shared" si="8"/>
        <v>#DIV/0!</v>
      </c>
    </row>
    <row r="37" spans="1:33" ht="15.75" customHeight="1">
      <c r="A37" s="21">
        <v>28</v>
      </c>
      <c r="B37" s="66">
        <f>+'PERIODO 01'!B37</f>
        <v>0</v>
      </c>
      <c r="C37" s="51"/>
      <c r="D37" s="52"/>
      <c r="E37" s="53"/>
      <c r="F37" s="53"/>
      <c r="G37" s="52"/>
      <c r="H37" s="52"/>
      <c r="I37" s="53"/>
      <c r="J37" s="53"/>
      <c r="K37" s="52"/>
      <c r="L37" s="52"/>
      <c r="M37" s="3" t="str">
        <f t="shared" si="0"/>
        <v/>
      </c>
      <c r="N37" s="3" t="str">
        <f t="shared" si="1"/>
        <v xml:space="preserve"> </v>
      </c>
      <c r="O37" s="3" t="str">
        <f t="shared" si="2"/>
        <v/>
      </c>
      <c r="P37" s="3" t="str">
        <f t="shared" si="3"/>
        <v/>
      </c>
      <c r="Q37" s="3" t="str">
        <f t="shared" si="4"/>
        <v/>
      </c>
      <c r="R37" s="38" t="e">
        <f t="shared" si="5"/>
        <v>#DIV/0!</v>
      </c>
      <c r="S37" s="56"/>
      <c r="T37" s="57"/>
      <c r="U37" s="56"/>
      <c r="V37" s="57"/>
      <c r="W37" s="56"/>
      <c r="X37" s="40" t="e">
        <f t="shared" si="6"/>
        <v>#DIV/0!</v>
      </c>
      <c r="Y37" s="60"/>
      <c r="Z37" s="61"/>
      <c r="AA37" s="60"/>
      <c r="AB37" s="61"/>
      <c r="AC37" s="60"/>
      <c r="AD37" s="42" t="e">
        <f t="shared" si="7"/>
        <v>#DIV/0!</v>
      </c>
      <c r="AE37" s="43" t="e">
        <f t="shared" si="9"/>
        <v>#DIV/0!</v>
      </c>
      <c r="AF37" s="63"/>
      <c r="AG37" s="65" t="e">
        <f t="shared" si="8"/>
        <v>#DIV/0!</v>
      </c>
    </row>
    <row r="38" spans="1:33" ht="15.75" customHeight="1">
      <c r="A38" s="21">
        <v>29</v>
      </c>
      <c r="B38" s="66">
        <f>+'PERIODO 01'!B38</f>
        <v>0</v>
      </c>
      <c r="C38" s="51"/>
      <c r="D38" s="52"/>
      <c r="E38" s="53"/>
      <c r="F38" s="53"/>
      <c r="G38" s="52"/>
      <c r="H38" s="52"/>
      <c r="I38" s="53"/>
      <c r="J38" s="53"/>
      <c r="K38" s="52"/>
      <c r="L38" s="52"/>
      <c r="M38" s="3" t="str">
        <f t="shared" si="0"/>
        <v/>
      </c>
      <c r="N38" s="3" t="str">
        <f t="shared" si="1"/>
        <v xml:space="preserve"> </v>
      </c>
      <c r="O38" s="3" t="str">
        <f t="shared" si="2"/>
        <v/>
      </c>
      <c r="P38" s="3" t="str">
        <f t="shared" si="3"/>
        <v/>
      </c>
      <c r="Q38" s="3" t="str">
        <f t="shared" si="4"/>
        <v/>
      </c>
      <c r="R38" s="38" t="e">
        <f t="shared" si="5"/>
        <v>#DIV/0!</v>
      </c>
      <c r="S38" s="56"/>
      <c r="T38" s="57"/>
      <c r="U38" s="56"/>
      <c r="V38" s="57"/>
      <c r="W38" s="56"/>
      <c r="X38" s="40" t="e">
        <f t="shared" si="6"/>
        <v>#DIV/0!</v>
      </c>
      <c r="Y38" s="60"/>
      <c r="Z38" s="61"/>
      <c r="AA38" s="60"/>
      <c r="AB38" s="61"/>
      <c r="AC38" s="60"/>
      <c r="AD38" s="42" t="e">
        <f t="shared" si="7"/>
        <v>#DIV/0!</v>
      </c>
      <c r="AE38" s="43" t="e">
        <f t="shared" si="9"/>
        <v>#DIV/0!</v>
      </c>
      <c r="AF38" s="63"/>
      <c r="AG38" s="65" t="e">
        <f t="shared" si="8"/>
        <v>#DIV/0!</v>
      </c>
    </row>
    <row r="39" spans="1:33" ht="15.75" customHeight="1">
      <c r="A39" s="21">
        <v>30</v>
      </c>
      <c r="B39" s="66">
        <f>+'PERIODO 01'!B39</f>
        <v>0</v>
      </c>
      <c r="C39" s="51"/>
      <c r="D39" s="52"/>
      <c r="E39" s="53"/>
      <c r="F39" s="53"/>
      <c r="G39" s="52"/>
      <c r="H39" s="52"/>
      <c r="I39" s="53"/>
      <c r="J39" s="53"/>
      <c r="K39" s="52"/>
      <c r="L39" s="52"/>
      <c r="M39" s="3" t="str">
        <f t="shared" si="0"/>
        <v/>
      </c>
      <c r="N39" s="3" t="str">
        <f t="shared" si="1"/>
        <v xml:space="preserve"> </v>
      </c>
      <c r="O39" s="3" t="str">
        <f t="shared" si="2"/>
        <v/>
      </c>
      <c r="P39" s="3" t="str">
        <f t="shared" si="3"/>
        <v/>
      </c>
      <c r="Q39" s="3" t="str">
        <f t="shared" si="4"/>
        <v/>
      </c>
      <c r="R39" s="38" t="e">
        <f t="shared" si="5"/>
        <v>#DIV/0!</v>
      </c>
      <c r="S39" s="56"/>
      <c r="T39" s="57"/>
      <c r="U39" s="56"/>
      <c r="V39" s="57"/>
      <c r="W39" s="56"/>
      <c r="X39" s="40" t="e">
        <f t="shared" si="6"/>
        <v>#DIV/0!</v>
      </c>
      <c r="Y39" s="60"/>
      <c r="Z39" s="61"/>
      <c r="AA39" s="60"/>
      <c r="AB39" s="61"/>
      <c r="AC39" s="60"/>
      <c r="AD39" s="42" t="e">
        <f t="shared" si="7"/>
        <v>#DIV/0!</v>
      </c>
      <c r="AE39" s="43" t="e">
        <f t="shared" si="9"/>
        <v>#DIV/0!</v>
      </c>
      <c r="AF39" s="63"/>
      <c r="AG39" s="65" t="e">
        <f t="shared" si="8"/>
        <v>#DIV/0!</v>
      </c>
    </row>
    <row r="40" spans="1:33" ht="15.75" customHeight="1">
      <c r="A40" s="21">
        <v>31</v>
      </c>
      <c r="B40" s="66">
        <f>+'PERIODO 01'!B40</f>
        <v>0</v>
      </c>
      <c r="C40" s="51"/>
      <c r="D40" s="52"/>
      <c r="E40" s="53"/>
      <c r="F40" s="53"/>
      <c r="G40" s="52"/>
      <c r="H40" s="52"/>
      <c r="I40" s="53"/>
      <c r="J40" s="53"/>
      <c r="K40" s="52"/>
      <c r="L40" s="52"/>
      <c r="M40" s="3" t="str">
        <f t="shared" si="0"/>
        <v/>
      </c>
      <c r="N40" s="3" t="str">
        <f t="shared" si="1"/>
        <v xml:space="preserve"> </v>
      </c>
      <c r="O40" s="3" t="str">
        <f t="shared" si="2"/>
        <v/>
      </c>
      <c r="P40" s="3" t="str">
        <f t="shared" si="3"/>
        <v/>
      </c>
      <c r="Q40" s="3" t="str">
        <f t="shared" si="4"/>
        <v/>
      </c>
      <c r="R40" s="38" t="e">
        <f t="shared" si="5"/>
        <v>#DIV/0!</v>
      </c>
      <c r="S40" s="56"/>
      <c r="T40" s="57"/>
      <c r="U40" s="56"/>
      <c r="V40" s="57"/>
      <c r="W40" s="56"/>
      <c r="X40" s="40" t="e">
        <f t="shared" si="6"/>
        <v>#DIV/0!</v>
      </c>
      <c r="Y40" s="60"/>
      <c r="Z40" s="61"/>
      <c r="AA40" s="60"/>
      <c r="AB40" s="61"/>
      <c r="AC40" s="60"/>
      <c r="AD40" s="42" t="e">
        <f t="shared" si="7"/>
        <v>#DIV/0!</v>
      </c>
      <c r="AE40" s="43" t="e">
        <f t="shared" si="9"/>
        <v>#DIV/0!</v>
      </c>
      <c r="AF40" s="63"/>
      <c r="AG40" s="65" t="e">
        <f t="shared" si="8"/>
        <v>#DIV/0!</v>
      </c>
    </row>
    <row r="41" spans="1:33" ht="15.75" customHeight="1">
      <c r="A41" s="21">
        <v>32</v>
      </c>
      <c r="B41" s="66">
        <f>+'PERIODO 01'!B41</f>
        <v>0</v>
      </c>
      <c r="C41" s="51"/>
      <c r="D41" s="52"/>
      <c r="E41" s="53"/>
      <c r="F41" s="53"/>
      <c r="G41" s="52"/>
      <c r="H41" s="52"/>
      <c r="I41" s="53"/>
      <c r="J41" s="53"/>
      <c r="K41" s="52"/>
      <c r="L41" s="52"/>
      <c r="M41" s="3" t="str">
        <f t="shared" si="0"/>
        <v/>
      </c>
      <c r="N41" s="3" t="str">
        <f t="shared" si="1"/>
        <v xml:space="preserve"> </v>
      </c>
      <c r="O41" s="3" t="str">
        <f t="shared" si="2"/>
        <v/>
      </c>
      <c r="P41" s="3" t="str">
        <f t="shared" si="3"/>
        <v/>
      </c>
      <c r="Q41" s="3" t="str">
        <f t="shared" si="4"/>
        <v/>
      </c>
      <c r="R41" s="38" t="e">
        <f t="shared" si="5"/>
        <v>#DIV/0!</v>
      </c>
      <c r="S41" s="56"/>
      <c r="T41" s="57"/>
      <c r="U41" s="56"/>
      <c r="V41" s="57"/>
      <c r="W41" s="56"/>
      <c r="X41" s="40" t="e">
        <f t="shared" si="6"/>
        <v>#DIV/0!</v>
      </c>
      <c r="Y41" s="60"/>
      <c r="Z41" s="61"/>
      <c r="AA41" s="60"/>
      <c r="AB41" s="61"/>
      <c r="AC41" s="60"/>
      <c r="AD41" s="42" t="e">
        <f t="shared" si="7"/>
        <v>#DIV/0!</v>
      </c>
      <c r="AE41" s="43" t="e">
        <f t="shared" si="9"/>
        <v>#DIV/0!</v>
      </c>
      <c r="AF41" s="63"/>
      <c r="AG41" s="65" t="e">
        <f t="shared" si="8"/>
        <v>#DIV/0!</v>
      </c>
    </row>
    <row r="42" spans="1:33" ht="15.75" customHeight="1">
      <c r="A42" s="21">
        <v>33</v>
      </c>
      <c r="B42" s="66">
        <f>+'PERIODO 01'!B42</f>
        <v>0</v>
      </c>
      <c r="C42" s="51"/>
      <c r="D42" s="52"/>
      <c r="E42" s="53"/>
      <c r="F42" s="53"/>
      <c r="G42" s="52"/>
      <c r="H42" s="52"/>
      <c r="I42" s="53"/>
      <c r="J42" s="53"/>
      <c r="K42" s="52"/>
      <c r="L42" s="52"/>
      <c r="M42" s="3" t="str">
        <f t="shared" si="0"/>
        <v/>
      </c>
      <c r="N42" s="3" t="str">
        <f t="shared" si="1"/>
        <v xml:space="preserve"> </v>
      </c>
      <c r="O42" s="3" t="str">
        <f t="shared" si="2"/>
        <v/>
      </c>
      <c r="P42" s="3" t="str">
        <f t="shared" si="3"/>
        <v/>
      </c>
      <c r="Q42" s="3" t="str">
        <f t="shared" si="4"/>
        <v/>
      </c>
      <c r="R42" s="38" t="e">
        <f t="shared" si="5"/>
        <v>#DIV/0!</v>
      </c>
      <c r="S42" s="56"/>
      <c r="T42" s="57"/>
      <c r="U42" s="56"/>
      <c r="V42" s="57"/>
      <c r="W42" s="56"/>
      <c r="X42" s="40" t="e">
        <f t="shared" si="6"/>
        <v>#DIV/0!</v>
      </c>
      <c r="Y42" s="60"/>
      <c r="Z42" s="61"/>
      <c r="AA42" s="60"/>
      <c r="AB42" s="61"/>
      <c r="AC42" s="60"/>
      <c r="AD42" s="42" t="e">
        <f t="shared" si="7"/>
        <v>#DIV/0!</v>
      </c>
      <c r="AE42" s="43" t="e">
        <f t="shared" si="9"/>
        <v>#DIV/0!</v>
      </c>
      <c r="AF42" s="63"/>
      <c r="AG42" s="65" t="e">
        <f t="shared" si="8"/>
        <v>#DIV/0!</v>
      </c>
    </row>
    <row r="43" spans="1:33" ht="15.75" customHeight="1">
      <c r="A43" s="21">
        <v>34</v>
      </c>
      <c r="B43" s="66">
        <f>+'PERIODO 01'!B43</f>
        <v>0</v>
      </c>
      <c r="C43" s="51"/>
      <c r="D43" s="52"/>
      <c r="E43" s="53"/>
      <c r="F43" s="53"/>
      <c r="G43" s="52"/>
      <c r="H43" s="52"/>
      <c r="I43" s="53"/>
      <c r="J43" s="53"/>
      <c r="K43" s="52"/>
      <c r="L43" s="52"/>
      <c r="M43" s="3" t="str">
        <f t="shared" si="0"/>
        <v/>
      </c>
      <c r="N43" s="3" t="str">
        <f t="shared" si="1"/>
        <v xml:space="preserve"> </v>
      </c>
      <c r="O43" s="3" t="str">
        <f t="shared" si="2"/>
        <v/>
      </c>
      <c r="P43" s="3" t="str">
        <f t="shared" si="3"/>
        <v/>
      </c>
      <c r="Q43" s="3" t="str">
        <f t="shared" si="4"/>
        <v/>
      </c>
      <c r="R43" s="38" t="e">
        <f t="shared" si="5"/>
        <v>#DIV/0!</v>
      </c>
      <c r="S43" s="56"/>
      <c r="T43" s="57"/>
      <c r="U43" s="56"/>
      <c r="V43" s="57"/>
      <c r="W43" s="56"/>
      <c r="X43" s="40" t="e">
        <f t="shared" si="6"/>
        <v>#DIV/0!</v>
      </c>
      <c r="Y43" s="60"/>
      <c r="Z43" s="61"/>
      <c r="AA43" s="60"/>
      <c r="AB43" s="61"/>
      <c r="AC43" s="60"/>
      <c r="AD43" s="42" t="e">
        <f t="shared" si="7"/>
        <v>#DIV/0!</v>
      </c>
      <c r="AE43" s="43" t="e">
        <f t="shared" si="9"/>
        <v>#DIV/0!</v>
      </c>
      <c r="AF43" s="63"/>
      <c r="AG43" s="65" t="e">
        <f t="shared" si="8"/>
        <v>#DIV/0!</v>
      </c>
    </row>
    <row r="44" spans="1:33" ht="15.75" customHeight="1">
      <c r="A44" s="21">
        <v>35</v>
      </c>
      <c r="B44" s="66">
        <f>+'PERIODO 01'!B44</f>
        <v>0</v>
      </c>
      <c r="C44" s="51"/>
      <c r="D44" s="52"/>
      <c r="E44" s="53"/>
      <c r="F44" s="53"/>
      <c r="G44" s="52"/>
      <c r="H44" s="52"/>
      <c r="I44" s="53"/>
      <c r="J44" s="53"/>
      <c r="K44" s="52"/>
      <c r="L44" s="52"/>
      <c r="M44" s="3" t="str">
        <f t="shared" si="0"/>
        <v/>
      </c>
      <c r="N44" s="3" t="str">
        <f t="shared" si="1"/>
        <v xml:space="preserve"> </v>
      </c>
      <c r="O44" s="3" t="str">
        <f t="shared" si="2"/>
        <v/>
      </c>
      <c r="P44" s="3" t="str">
        <f t="shared" si="3"/>
        <v/>
      </c>
      <c r="Q44" s="3" t="str">
        <f t="shared" si="4"/>
        <v/>
      </c>
      <c r="R44" s="38" t="e">
        <f t="shared" si="5"/>
        <v>#DIV/0!</v>
      </c>
      <c r="S44" s="56"/>
      <c r="T44" s="57"/>
      <c r="U44" s="56"/>
      <c r="V44" s="57"/>
      <c r="W44" s="56"/>
      <c r="X44" s="40" t="e">
        <f t="shared" si="6"/>
        <v>#DIV/0!</v>
      </c>
      <c r="Y44" s="60"/>
      <c r="Z44" s="61"/>
      <c r="AA44" s="60"/>
      <c r="AB44" s="61"/>
      <c r="AC44" s="60"/>
      <c r="AD44" s="42" t="e">
        <f t="shared" si="7"/>
        <v>#DIV/0!</v>
      </c>
      <c r="AE44" s="43" t="e">
        <f t="shared" si="9"/>
        <v>#DIV/0!</v>
      </c>
      <c r="AF44" s="63"/>
      <c r="AG44" s="65" t="e">
        <f t="shared" si="8"/>
        <v>#DIV/0!</v>
      </c>
    </row>
    <row r="45" spans="1:33" ht="15.75" customHeight="1">
      <c r="A45" s="21">
        <v>36</v>
      </c>
      <c r="B45" s="66">
        <f>+'PERIODO 01'!B45</f>
        <v>0</v>
      </c>
      <c r="C45" s="51"/>
      <c r="D45" s="52"/>
      <c r="E45" s="53"/>
      <c r="F45" s="53"/>
      <c r="G45" s="52"/>
      <c r="H45" s="52"/>
      <c r="I45" s="53"/>
      <c r="J45" s="53"/>
      <c r="K45" s="52"/>
      <c r="L45" s="52"/>
      <c r="M45" s="3" t="str">
        <f t="shared" si="0"/>
        <v/>
      </c>
      <c r="N45" s="3" t="str">
        <f t="shared" si="1"/>
        <v xml:space="preserve"> </v>
      </c>
      <c r="O45" s="3" t="str">
        <f t="shared" si="2"/>
        <v/>
      </c>
      <c r="P45" s="3" t="str">
        <f t="shared" si="3"/>
        <v/>
      </c>
      <c r="Q45" s="3" t="str">
        <f t="shared" si="4"/>
        <v/>
      </c>
      <c r="R45" s="38" t="e">
        <f t="shared" si="5"/>
        <v>#DIV/0!</v>
      </c>
      <c r="S45" s="56"/>
      <c r="T45" s="57"/>
      <c r="U45" s="56"/>
      <c r="V45" s="57"/>
      <c r="W45" s="56"/>
      <c r="X45" s="40" t="e">
        <f t="shared" si="6"/>
        <v>#DIV/0!</v>
      </c>
      <c r="Y45" s="60"/>
      <c r="Z45" s="61"/>
      <c r="AA45" s="60"/>
      <c r="AB45" s="61"/>
      <c r="AC45" s="60"/>
      <c r="AD45" s="42" t="e">
        <f t="shared" si="7"/>
        <v>#DIV/0!</v>
      </c>
      <c r="AE45" s="43" t="e">
        <f t="shared" si="9"/>
        <v>#DIV/0!</v>
      </c>
      <c r="AF45" s="63"/>
      <c r="AG45" s="65" t="e">
        <f t="shared" si="8"/>
        <v>#DIV/0!</v>
      </c>
    </row>
    <row r="46" spans="1:33" ht="15.75" customHeight="1">
      <c r="A46" s="21">
        <v>37</v>
      </c>
      <c r="B46" s="66">
        <f>+'PERIODO 01'!B46</f>
        <v>0</v>
      </c>
      <c r="C46" s="51"/>
      <c r="D46" s="52"/>
      <c r="E46" s="53"/>
      <c r="F46" s="53"/>
      <c r="G46" s="52"/>
      <c r="H46" s="52"/>
      <c r="I46" s="53"/>
      <c r="J46" s="53"/>
      <c r="K46" s="52"/>
      <c r="L46" s="52"/>
      <c r="M46" s="3" t="str">
        <f t="shared" si="0"/>
        <v/>
      </c>
      <c r="N46" s="3" t="str">
        <f t="shared" si="1"/>
        <v xml:space="preserve"> </v>
      </c>
      <c r="O46" s="3" t="str">
        <f t="shared" si="2"/>
        <v/>
      </c>
      <c r="P46" s="3" t="str">
        <f t="shared" si="3"/>
        <v/>
      </c>
      <c r="Q46" s="3" t="str">
        <f t="shared" si="4"/>
        <v/>
      </c>
      <c r="R46" s="38" t="e">
        <f t="shared" si="5"/>
        <v>#DIV/0!</v>
      </c>
      <c r="S46" s="56"/>
      <c r="T46" s="57"/>
      <c r="U46" s="56"/>
      <c r="V46" s="57"/>
      <c r="W46" s="56"/>
      <c r="X46" s="40" t="e">
        <f t="shared" si="6"/>
        <v>#DIV/0!</v>
      </c>
      <c r="Y46" s="60"/>
      <c r="Z46" s="61"/>
      <c r="AA46" s="60"/>
      <c r="AB46" s="61"/>
      <c r="AC46" s="60"/>
      <c r="AD46" s="42" t="e">
        <f t="shared" si="7"/>
        <v>#DIV/0!</v>
      </c>
      <c r="AE46" s="43" t="e">
        <f t="shared" si="9"/>
        <v>#DIV/0!</v>
      </c>
      <c r="AF46" s="63"/>
      <c r="AG46" s="65" t="e">
        <f t="shared" si="8"/>
        <v>#DIV/0!</v>
      </c>
    </row>
    <row r="47" spans="1:33" ht="15.75" customHeight="1">
      <c r="A47" s="21">
        <v>38</v>
      </c>
      <c r="B47" s="66">
        <f>+'PERIODO 01'!B47</f>
        <v>0</v>
      </c>
      <c r="C47" s="51"/>
      <c r="D47" s="52"/>
      <c r="E47" s="53"/>
      <c r="F47" s="53"/>
      <c r="G47" s="52"/>
      <c r="H47" s="52"/>
      <c r="I47" s="53"/>
      <c r="J47" s="53"/>
      <c r="K47" s="52"/>
      <c r="L47" s="52"/>
      <c r="M47" s="3" t="str">
        <f t="shared" si="0"/>
        <v/>
      </c>
      <c r="N47" s="3" t="str">
        <f t="shared" si="1"/>
        <v xml:space="preserve"> </v>
      </c>
      <c r="O47" s="3" t="str">
        <f t="shared" si="2"/>
        <v/>
      </c>
      <c r="P47" s="3" t="str">
        <f t="shared" si="3"/>
        <v/>
      </c>
      <c r="Q47" s="3" t="str">
        <f t="shared" si="4"/>
        <v/>
      </c>
      <c r="R47" s="38" t="e">
        <f t="shared" si="5"/>
        <v>#DIV/0!</v>
      </c>
      <c r="S47" s="56"/>
      <c r="T47" s="57"/>
      <c r="U47" s="56"/>
      <c r="V47" s="57"/>
      <c r="W47" s="56"/>
      <c r="X47" s="40" t="e">
        <f t="shared" si="6"/>
        <v>#DIV/0!</v>
      </c>
      <c r="Y47" s="60"/>
      <c r="Z47" s="61"/>
      <c r="AA47" s="60"/>
      <c r="AB47" s="61"/>
      <c r="AC47" s="60"/>
      <c r="AD47" s="42" t="e">
        <f t="shared" si="7"/>
        <v>#DIV/0!</v>
      </c>
      <c r="AE47" s="43" t="e">
        <f t="shared" si="9"/>
        <v>#DIV/0!</v>
      </c>
      <c r="AF47" s="63"/>
      <c r="AG47" s="65" t="e">
        <f t="shared" si="8"/>
        <v>#DIV/0!</v>
      </c>
    </row>
    <row r="48" spans="1:33" ht="15.75" customHeight="1">
      <c r="A48" s="21">
        <v>39</v>
      </c>
      <c r="B48" s="66">
        <f>+'PERIODO 01'!B48</f>
        <v>0</v>
      </c>
      <c r="C48" s="51"/>
      <c r="D48" s="52"/>
      <c r="E48" s="53"/>
      <c r="F48" s="53"/>
      <c r="G48" s="52"/>
      <c r="H48" s="52"/>
      <c r="I48" s="53"/>
      <c r="J48" s="53"/>
      <c r="K48" s="52"/>
      <c r="L48" s="52"/>
      <c r="M48" s="3" t="str">
        <f t="shared" si="0"/>
        <v/>
      </c>
      <c r="N48" s="3" t="str">
        <f t="shared" si="1"/>
        <v xml:space="preserve"> </v>
      </c>
      <c r="O48" s="3" t="str">
        <f t="shared" si="2"/>
        <v/>
      </c>
      <c r="P48" s="3" t="str">
        <f t="shared" si="3"/>
        <v/>
      </c>
      <c r="Q48" s="3" t="str">
        <f t="shared" si="4"/>
        <v/>
      </c>
      <c r="R48" s="38" t="e">
        <f t="shared" si="5"/>
        <v>#DIV/0!</v>
      </c>
      <c r="S48" s="56"/>
      <c r="T48" s="57"/>
      <c r="U48" s="56"/>
      <c r="V48" s="57"/>
      <c r="W48" s="56"/>
      <c r="X48" s="40" t="e">
        <f t="shared" si="6"/>
        <v>#DIV/0!</v>
      </c>
      <c r="Y48" s="60"/>
      <c r="Z48" s="61"/>
      <c r="AA48" s="60"/>
      <c r="AB48" s="61"/>
      <c r="AC48" s="60"/>
      <c r="AD48" s="42" t="e">
        <f t="shared" si="7"/>
        <v>#DIV/0!</v>
      </c>
      <c r="AE48" s="43" t="e">
        <f t="shared" si="9"/>
        <v>#DIV/0!</v>
      </c>
      <c r="AF48" s="63"/>
      <c r="AG48" s="65" t="e">
        <f t="shared" si="8"/>
        <v>#DIV/0!</v>
      </c>
    </row>
    <row r="49" spans="1:33" ht="15.75" customHeight="1">
      <c r="A49" s="21">
        <v>40</v>
      </c>
      <c r="B49" s="66">
        <f>+'PERIODO 01'!B49</f>
        <v>0</v>
      </c>
      <c r="C49" s="51"/>
      <c r="D49" s="52"/>
      <c r="E49" s="53"/>
      <c r="F49" s="53"/>
      <c r="G49" s="52"/>
      <c r="H49" s="52"/>
      <c r="I49" s="53"/>
      <c r="J49" s="53"/>
      <c r="K49" s="52"/>
      <c r="L49" s="52"/>
      <c r="M49" s="3" t="str">
        <f t="shared" si="0"/>
        <v/>
      </c>
      <c r="N49" s="3" t="str">
        <f t="shared" si="1"/>
        <v xml:space="preserve"> </v>
      </c>
      <c r="O49" s="3" t="str">
        <f t="shared" si="2"/>
        <v/>
      </c>
      <c r="P49" s="3" t="str">
        <f t="shared" si="3"/>
        <v/>
      </c>
      <c r="Q49" s="3" t="str">
        <f t="shared" si="4"/>
        <v/>
      </c>
      <c r="R49" s="38" t="e">
        <f t="shared" si="5"/>
        <v>#DIV/0!</v>
      </c>
      <c r="S49" s="56"/>
      <c r="T49" s="57"/>
      <c r="U49" s="56"/>
      <c r="V49" s="57"/>
      <c r="W49" s="56"/>
      <c r="X49" s="40" t="e">
        <f t="shared" si="6"/>
        <v>#DIV/0!</v>
      </c>
      <c r="Y49" s="60"/>
      <c r="Z49" s="61"/>
      <c r="AA49" s="60"/>
      <c r="AB49" s="61"/>
      <c r="AC49" s="60"/>
      <c r="AD49" s="42" t="e">
        <f t="shared" si="7"/>
        <v>#DIV/0!</v>
      </c>
      <c r="AE49" s="43" t="e">
        <f t="shared" si="9"/>
        <v>#DIV/0!</v>
      </c>
      <c r="AF49" s="63"/>
      <c r="AG49" s="65" t="e">
        <f t="shared" si="8"/>
        <v>#DIV/0!</v>
      </c>
    </row>
    <row r="50" spans="1:33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44"/>
      <c r="AG50" s="44"/>
    </row>
    <row r="51" spans="1:33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5"/>
      <c r="AF51" s="44"/>
      <c r="AG51" s="44"/>
    </row>
    <row r="52" spans="1:33" ht="15.75" customHeight="1">
      <c r="A52" s="4"/>
      <c r="B52" s="6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44"/>
      <c r="AG52" s="44"/>
    </row>
    <row r="53" spans="1:3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44"/>
      <c r="AG53" s="44"/>
    </row>
    <row r="54" spans="1:33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5"/>
      <c r="AF54" s="44"/>
      <c r="AG54" s="44"/>
    </row>
    <row r="55" spans="1:33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5"/>
      <c r="AF55" s="44"/>
      <c r="AG55" s="44"/>
    </row>
    <row r="56" spans="1:33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5"/>
      <c r="AF56" s="44"/>
      <c r="AG56" s="44"/>
    </row>
    <row r="57" spans="1:33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5"/>
      <c r="AF57" s="44"/>
      <c r="AG57" s="44"/>
    </row>
    <row r="58" spans="1:33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5"/>
      <c r="AF58" s="44"/>
      <c r="AG58" s="44"/>
    </row>
    <row r="59" spans="1:33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5"/>
      <c r="AF59" s="44"/>
      <c r="AG59" s="44"/>
    </row>
    <row r="60" spans="1:33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5"/>
      <c r="AF60" s="44"/>
      <c r="AG60" s="44"/>
    </row>
    <row r="61" spans="1:33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5"/>
      <c r="AF61" s="44"/>
      <c r="AG61" s="44"/>
    </row>
    <row r="62" spans="1:33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5"/>
      <c r="AF62" s="44"/>
      <c r="AG62" s="44"/>
    </row>
    <row r="63" spans="1:3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5"/>
      <c r="AF63" s="44"/>
      <c r="AG63" s="44"/>
    </row>
    <row r="64" spans="1:33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5"/>
      <c r="AF64" s="44"/>
      <c r="AG64" s="44"/>
    </row>
    <row r="65" spans="1:33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5"/>
      <c r="AF65" s="44"/>
      <c r="AG65" s="44"/>
    </row>
    <row r="66" spans="1:33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5"/>
      <c r="AF66" s="44"/>
      <c r="AG66" s="44"/>
    </row>
    <row r="67" spans="1:33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5"/>
      <c r="AF67" s="44"/>
      <c r="AG67" s="44"/>
    </row>
    <row r="68" spans="1:33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5"/>
      <c r="AF68" s="44"/>
      <c r="AG68" s="44"/>
    </row>
    <row r="69" spans="1:33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5"/>
      <c r="AF69" s="44"/>
      <c r="AG69" s="44"/>
    </row>
    <row r="70" spans="1:33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5"/>
      <c r="AF70" s="44"/>
      <c r="AG70" s="44"/>
    </row>
    <row r="71" spans="1:33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5"/>
      <c r="AF71" s="44"/>
      <c r="AG71" s="44"/>
    </row>
    <row r="72" spans="1:33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5"/>
      <c r="AF72" s="44"/>
      <c r="AG72" s="44"/>
    </row>
    <row r="73" spans="1:3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5"/>
      <c r="AF73" s="44"/>
      <c r="AG73" s="44"/>
    </row>
    <row r="74" spans="1:33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5"/>
      <c r="AF74" s="44"/>
      <c r="AG74" s="44"/>
    </row>
    <row r="75" spans="1:33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5"/>
      <c r="AF75" s="44"/>
      <c r="AG75" s="44"/>
    </row>
    <row r="76" spans="1:33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5"/>
      <c r="AF76" s="44"/>
      <c r="AG76" s="44"/>
    </row>
    <row r="77" spans="1:33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5"/>
      <c r="AF77" s="44"/>
      <c r="AG77" s="44"/>
    </row>
    <row r="78" spans="1:33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5"/>
      <c r="AF78" s="44"/>
      <c r="AG78" s="44"/>
    </row>
    <row r="79" spans="1:33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5"/>
      <c r="AF79" s="44"/>
      <c r="AG79" s="44"/>
    </row>
    <row r="80" spans="1:33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5"/>
      <c r="AF80" s="44"/>
      <c r="AG80" s="44"/>
    </row>
    <row r="81" spans="1:33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5"/>
      <c r="AF81" s="44"/>
      <c r="AG81" s="44"/>
    </row>
    <row r="82" spans="1:33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5"/>
      <c r="AF82" s="44"/>
      <c r="AG82" s="44"/>
    </row>
    <row r="83" spans="1:3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5"/>
      <c r="AF83" s="44"/>
      <c r="AG83" s="44"/>
    </row>
    <row r="84" spans="1:33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5"/>
      <c r="AF84" s="44"/>
      <c r="AG84" s="44"/>
    </row>
    <row r="85" spans="1:33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5"/>
      <c r="AF85" s="44"/>
      <c r="AG85" s="44"/>
    </row>
    <row r="86" spans="1:33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5"/>
      <c r="AF86" s="44"/>
      <c r="AG86" s="44"/>
    </row>
    <row r="87" spans="1:33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5"/>
      <c r="AF87" s="44"/>
      <c r="AG87" s="44"/>
    </row>
    <row r="88" spans="1:33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5"/>
      <c r="AF88" s="44"/>
      <c r="AG88" s="44"/>
    </row>
    <row r="89" spans="1:33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5"/>
      <c r="AF89" s="44"/>
      <c r="AG89" s="44"/>
    </row>
    <row r="90" spans="1:33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5"/>
      <c r="AF90" s="44"/>
      <c r="AG90" s="44"/>
    </row>
    <row r="91" spans="1:33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5"/>
      <c r="AF91" s="44"/>
      <c r="AG91" s="44"/>
    </row>
    <row r="92" spans="1:33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5"/>
      <c r="AF92" s="44"/>
      <c r="AG92" s="44"/>
    </row>
    <row r="93" spans="1:3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5"/>
      <c r="AF93" s="44"/>
      <c r="AG93" s="44"/>
    </row>
    <row r="94" spans="1:33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5"/>
      <c r="AF94" s="44"/>
      <c r="AG94" s="44"/>
    </row>
    <row r="95" spans="1:33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5"/>
      <c r="AF95" s="44"/>
      <c r="AG95" s="44"/>
    </row>
    <row r="96" spans="1:33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5"/>
      <c r="AF96" s="44"/>
      <c r="AG96" s="44"/>
    </row>
    <row r="97" spans="1:33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5"/>
      <c r="AF97" s="44"/>
      <c r="AG97" s="44"/>
    </row>
    <row r="98" spans="1:33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5"/>
      <c r="AF98" s="44"/>
      <c r="AG98" s="44"/>
    </row>
    <row r="99" spans="1:33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5"/>
      <c r="AF99" s="44"/>
      <c r="AG99" s="44"/>
    </row>
    <row r="100" spans="1:33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5"/>
      <c r="AF100" s="44"/>
      <c r="AG100" s="44"/>
    </row>
    <row r="101" spans="1:33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5"/>
      <c r="AF101" s="44"/>
      <c r="AG101" s="44"/>
    </row>
    <row r="102" spans="1:33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5"/>
      <c r="AF102" s="44"/>
      <c r="AG102" s="44"/>
    </row>
    <row r="103" spans="1:3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5"/>
      <c r="AF103" s="44"/>
      <c r="AG103" s="44"/>
    </row>
    <row r="104" spans="1:33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5"/>
      <c r="AF104" s="44"/>
      <c r="AG104" s="44"/>
    </row>
    <row r="105" spans="1:33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5"/>
      <c r="AF105" s="44"/>
      <c r="AG105" s="44"/>
    </row>
    <row r="106" spans="1:33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5"/>
      <c r="AF106" s="44"/>
      <c r="AG106" s="44"/>
    </row>
    <row r="107" spans="1:33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5"/>
      <c r="AF107" s="44"/>
      <c r="AG107" s="44"/>
    </row>
    <row r="108" spans="1:33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5"/>
      <c r="AF108" s="44"/>
      <c r="AG108" s="44"/>
    </row>
    <row r="109" spans="1:33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5"/>
      <c r="AF109" s="44"/>
      <c r="AG109" s="44"/>
    </row>
    <row r="110" spans="1:33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5"/>
      <c r="AF110" s="44"/>
      <c r="AG110" s="44"/>
    </row>
    <row r="111" spans="1:33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5"/>
      <c r="AF111" s="44"/>
      <c r="AG111" s="44"/>
    </row>
    <row r="112" spans="1:33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5"/>
      <c r="AF112" s="44"/>
      <c r="AG112" s="44"/>
    </row>
    <row r="113" spans="1:3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5"/>
      <c r="AF113" s="44"/>
      <c r="AG113" s="44"/>
    </row>
    <row r="114" spans="1:33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5"/>
      <c r="AF114" s="44"/>
      <c r="AG114" s="44"/>
    </row>
    <row r="115" spans="1:33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5"/>
      <c r="AF115" s="44"/>
      <c r="AG115" s="44"/>
    </row>
    <row r="116" spans="1:33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5"/>
      <c r="AF116" s="44"/>
      <c r="AG116" s="44"/>
    </row>
    <row r="117" spans="1:33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5"/>
      <c r="AF117" s="44"/>
      <c r="AG117" s="44"/>
    </row>
    <row r="118" spans="1:33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5"/>
      <c r="AF118" s="44"/>
      <c r="AG118" s="44"/>
    </row>
    <row r="119" spans="1:33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5"/>
      <c r="AF119" s="44"/>
      <c r="AG119" s="44"/>
    </row>
    <row r="120" spans="1:33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5"/>
      <c r="AF120" s="44"/>
      <c r="AG120" s="44"/>
    </row>
    <row r="121" spans="1:33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5"/>
      <c r="AF121" s="44"/>
      <c r="AG121" s="44"/>
    </row>
    <row r="122" spans="1:33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5"/>
      <c r="AF122" s="44"/>
      <c r="AG122" s="44"/>
    </row>
    <row r="123" spans="1:3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5"/>
      <c r="AF123" s="44"/>
      <c r="AG123" s="44"/>
    </row>
    <row r="124" spans="1:33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5"/>
      <c r="AF124" s="44"/>
      <c r="AG124" s="44"/>
    </row>
    <row r="125" spans="1:33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5"/>
      <c r="AF125" s="44"/>
      <c r="AG125" s="44"/>
    </row>
    <row r="126" spans="1:33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5"/>
      <c r="AF126" s="44"/>
      <c r="AG126" s="44"/>
    </row>
    <row r="127" spans="1:33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5"/>
      <c r="AF127" s="44"/>
      <c r="AG127" s="44"/>
    </row>
    <row r="128" spans="1:33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5"/>
      <c r="AF128" s="44"/>
      <c r="AG128" s="44"/>
    </row>
    <row r="129" spans="1:33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5"/>
      <c r="AF129" s="44"/>
      <c r="AG129" s="44"/>
    </row>
    <row r="130" spans="1:33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5"/>
      <c r="AF130" s="44"/>
      <c r="AG130" s="44"/>
    </row>
    <row r="131" spans="1:33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5"/>
      <c r="AF131" s="44"/>
      <c r="AG131" s="44"/>
    </row>
    <row r="132" spans="1:33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5"/>
      <c r="AF132" s="44"/>
      <c r="AG132" s="44"/>
    </row>
    <row r="133" spans="1: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5"/>
      <c r="AF133" s="44"/>
      <c r="AG133" s="44"/>
    </row>
    <row r="134" spans="1:33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5"/>
      <c r="AF134" s="44"/>
      <c r="AG134" s="44"/>
    </row>
    <row r="135" spans="1:33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5"/>
      <c r="AF135" s="44"/>
      <c r="AG135" s="44"/>
    </row>
    <row r="136" spans="1:33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5"/>
      <c r="AF136" s="44"/>
      <c r="AG136" s="44"/>
    </row>
    <row r="137" spans="1:33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5"/>
      <c r="AF137" s="44"/>
      <c r="AG137" s="44"/>
    </row>
    <row r="138" spans="1:33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5"/>
      <c r="AF138" s="44"/>
      <c r="AG138" s="44"/>
    </row>
    <row r="139" spans="1:33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5"/>
      <c r="AF139" s="44"/>
      <c r="AG139" s="44"/>
    </row>
    <row r="140" spans="1:33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5"/>
      <c r="AF140" s="44"/>
      <c r="AG140" s="44"/>
    </row>
    <row r="141" spans="1:33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5"/>
      <c r="AF141" s="44"/>
      <c r="AG141" s="44"/>
    </row>
    <row r="142" spans="1:33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5"/>
      <c r="AF142" s="44"/>
      <c r="AG142" s="44"/>
    </row>
    <row r="143" spans="1:3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5"/>
      <c r="AF143" s="44"/>
      <c r="AG143" s="44"/>
    </row>
    <row r="144" spans="1:33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5"/>
      <c r="AF144" s="44"/>
      <c r="AG144" s="44"/>
    </row>
    <row r="145" spans="1:33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5"/>
      <c r="AF145" s="44"/>
      <c r="AG145" s="44"/>
    </row>
    <row r="146" spans="1:33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5"/>
      <c r="AF146" s="44"/>
      <c r="AG146" s="44"/>
    </row>
    <row r="147" spans="1:33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5"/>
      <c r="AF147" s="44"/>
      <c r="AG147" s="44"/>
    </row>
    <row r="148" spans="1:33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5"/>
      <c r="AF148" s="44"/>
      <c r="AG148" s="44"/>
    </row>
    <row r="149" spans="1:33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5"/>
      <c r="AF149" s="44"/>
      <c r="AG149" s="44"/>
    </row>
    <row r="150" spans="1:33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5"/>
      <c r="AF150" s="44"/>
      <c r="AG150" s="44"/>
    </row>
    <row r="151" spans="1:33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5"/>
      <c r="AF151" s="44"/>
      <c r="AG151" s="44"/>
    </row>
    <row r="152" spans="1:33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5"/>
      <c r="AF152" s="44"/>
      <c r="AG152" s="44"/>
    </row>
    <row r="153" spans="1:3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5"/>
      <c r="AF153" s="44"/>
      <c r="AG153" s="44"/>
    </row>
    <row r="154" spans="1:33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5"/>
      <c r="AF154" s="44"/>
      <c r="AG154" s="44"/>
    </row>
    <row r="155" spans="1:33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5"/>
      <c r="AF155" s="44"/>
      <c r="AG155" s="44"/>
    </row>
    <row r="156" spans="1:33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5"/>
      <c r="AF156" s="44"/>
      <c r="AG156" s="44"/>
    </row>
    <row r="157" spans="1:33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5"/>
      <c r="AF157" s="44"/>
      <c r="AG157" s="44"/>
    </row>
    <row r="158" spans="1:33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5"/>
      <c r="AF158" s="44"/>
      <c r="AG158" s="44"/>
    </row>
    <row r="159" spans="1:33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5"/>
      <c r="AF159" s="44"/>
      <c r="AG159" s="44"/>
    </row>
    <row r="160" spans="1:33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5"/>
      <c r="AF160" s="44"/>
      <c r="AG160" s="44"/>
    </row>
    <row r="161" spans="1:33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5"/>
      <c r="AF161" s="44"/>
      <c r="AG161" s="44"/>
    </row>
    <row r="162" spans="1:33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5"/>
      <c r="AF162" s="44"/>
      <c r="AG162" s="44"/>
    </row>
    <row r="163" spans="1:3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5"/>
      <c r="AF163" s="44"/>
      <c r="AG163" s="44"/>
    </row>
    <row r="164" spans="1:33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5"/>
      <c r="AF164" s="44"/>
      <c r="AG164" s="44"/>
    </row>
    <row r="165" spans="1:33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5"/>
      <c r="AF165" s="44"/>
      <c r="AG165" s="44"/>
    </row>
    <row r="166" spans="1:33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5"/>
      <c r="AF166" s="44"/>
      <c r="AG166" s="44"/>
    </row>
    <row r="167" spans="1:33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5"/>
      <c r="AF167" s="44"/>
      <c r="AG167" s="44"/>
    </row>
    <row r="168" spans="1:33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5"/>
      <c r="AF168" s="44"/>
      <c r="AG168" s="44"/>
    </row>
    <row r="169" spans="1:33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5"/>
      <c r="AF169" s="44"/>
      <c r="AG169" s="44"/>
    </row>
    <row r="170" spans="1:33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5"/>
      <c r="AF170" s="44"/>
      <c r="AG170" s="44"/>
    </row>
    <row r="171" spans="1:33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5"/>
      <c r="AF171" s="44"/>
      <c r="AG171" s="44"/>
    </row>
    <row r="172" spans="1:33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5"/>
      <c r="AF172" s="44"/>
      <c r="AG172" s="44"/>
    </row>
    <row r="173" spans="1:3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5"/>
      <c r="AF173" s="44"/>
      <c r="AG173" s="44"/>
    </row>
    <row r="174" spans="1:33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5"/>
      <c r="AF174" s="44"/>
      <c r="AG174" s="44"/>
    </row>
    <row r="175" spans="1:33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5"/>
      <c r="AF175" s="44"/>
      <c r="AG175" s="44"/>
    </row>
    <row r="176" spans="1:33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5"/>
      <c r="AF176" s="44"/>
      <c r="AG176" s="44"/>
    </row>
    <row r="177" spans="1:33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5"/>
      <c r="AF177" s="44"/>
      <c r="AG177" s="44"/>
    </row>
    <row r="178" spans="1:33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5"/>
      <c r="AF178" s="44"/>
      <c r="AG178" s="44"/>
    </row>
    <row r="179" spans="1:33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5"/>
      <c r="AF179" s="44"/>
      <c r="AG179" s="44"/>
    </row>
    <row r="180" spans="1:33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5"/>
      <c r="AF180" s="44"/>
      <c r="AG180" s="44"/>
    </row>
    <row r="181" spans="1:33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5"/>
      <c r="AF181" s="44"/>
      <c r="AG181" s="44"/>
    </row>
    <row r="182" spans="1:33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5"/>
      <c r="AF182" s="44"/>
      <c r="AG182" s="44"/>
    </row>
    <row r="183" spans="1:3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5"/>
      <c r="AF183" s="44"/>
      <c r="AG183" s="44"/>
    </row>
    <row r="184" spans="1:33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5"/>
      <c r="AF184" s="44"/>
      <c r="AG184" s="44"/>
    </row>
    <row r="185" spans="1:33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5"/>
      <c r="AF185" s="44"/>
      <c r="AG185" s="44"/>
    </row>
    <row r="186" spans="1:33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5"/>
      <c r="AF186" s="44"/>
      <c r="AG186" s="44"/>
    </row>
    <row r="187" spans="1:33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5"/>
      <c r="AF187" s="44"/>
      <c r="AG187" s="44"/>
    </row>
    <row r="188" spans="1:33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5"/>
      <c r="AF188" s="44"/>
      <c r="AG188" s="44"/>
    </row>
    <row r="189" spans="1:33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5"/>
      <c r="AF189" s="44"/>
      <c r="AG189" s="44"/>
    </row>
    <row r="190" spans="1:33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5"/>
      <c r="AF190" s="44"/>
      <c r="AG190" s="44"/>
    </row>
    <row r="191" spans="1:33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5"/>
      <c r="AF191" s="44"/>
      <c r="AG191" s="44"/>
    </row>
    <row r="192" spans="1:33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5"/>
      <c r="AF192" s="44"/>
      <c r="AG192" s="44"/>
    </row>
    <row r="193" spans="1:3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5"/>
      <c r="AF193" s="44"/>
      <c r="AG193" s="44"/>
    </row>
    <row r="194" spans="1:33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5"/>
      <c r="AF194" s="44"/>
      <c r="AG194" s="44"/>
    </row>
    <row r="195" spans="1:33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5"/>
      <c r="AF195" s="44"/>
      <c r="AG195" s="44"/>
    </row>
    <row r="196" spans="1:33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5"/>
      <c r="AF196" s="44"/>
      <c r="AG196" s="44"/>
    </row>
    <row r="197" spans="1:33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5"/>
      <c r="AF197" s="44"/>
      <c r="AG197" s="44"/>
    </row>
    <row r="198" spans="1:33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5"/>
      <c r="AF198" s="44"/>
      <c r="AG198" s="44"/>
    </row>
    <row r="199" spans="1:33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5"/>
      <c r="AF199" s="44"/>
      <c r="AG199" s="44"/>
    </row>
    <row r="200" spans="1:33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5"/>
      <c r="AF200" s="44"/>
      <c r="AG200" s="44"/>
    </row>
    <row r="201" spans="1:33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5"/>
      <c r="AF201" s="44"/>
      <c r="AG201" s="44"/>
    </row>
    <row r="202" spans="1:33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5"/>
      <c r="AF202" s="44"/>
      <c r="AG202" s="44"/>
    </row>
    <row r="203" spans="1:3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5"/>
      <c r="AF203" s="44"/>
      <c r="AG203" s="44"/>
    </row>
    <row r="204" spans="1:33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5"/>
      <c r="AF204" s="44"/>
      <c r="AG204" s="44"/>
    </row>
    <row r="205" spans="1:33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5"/>
      <c r="AF205" s="44"/>
      <c r="AG205" s="44"/>
    </row>
    <row r="206" spans="1:33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5"/>
      <c r="AF206" s="44"/>
      <c r="AG206" s="44"/>
    </row>
    <row r="207" spans="1:33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5"/>
      <c r="AF207" s="44"/>
      <c r="AG207" s="44"/>
    </row>
    <row r="208" spans="1:33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5"/>
      <c r="AF208" s="44"/>
      <c r="AG208" s="44"/>
    </row>
    <row r="209" spans="1:33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5"/>
      <c r="AF209" s="44"/>
      <c r="AG209" s="44"/>
    </row>
    <row r="210" spans="1:33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5"/>
      <c r="AF210" s="44"/>
      <c r="AG210" s="44"/>
    </row>
    <row r="211" spans="1:33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5"/>
      <c r="AF211" s="44"/>
      <c r="AG211" s="44"/>
    </row>
    <row r="212" spans="1:33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5"/>
      <c r="AF212" s="44"/>
      <c r="AG212" s="44"/>
    </row>
    <row r="213" spans="1:3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5"/>
      <c r="AF213" s="44"/>
      <c r="AG213" s="44"/>
    </row>
    <row r="214" spans="1:33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5"/>
      <c r="AF214" s="44"/>
      <c r="AG214" s="44"/>
    </row>
    <row r="215" spans="1:33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5"/>
      <c r="AF215" s="44"/>
      <c r="AG215" s="44"/>
    </row>
    <row r="216" spans="1:33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5"/>
      <c r="AF216" s="44"/>
      <c r="AG216" s="44"/>
    </row>
    <row r="217" spans="1:33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5"/>
      <c r="AF217" s="44"/>
      <c r="AG217" s="44"/>
    </row>
    <row r="218" spans="1:33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5"/>
      <c r="AF218" s="44"/>
      <c r="AG218" s="44"/>
    </row>
    <row r="219" spans="1:33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5"/>
      <c r="AF219" s="44"/>
      <c r="AG219" s="44"/>
    </row>
    <row r="220" spans="1:33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5"/>
      <c r="AF220" s="44"/>
      <c r="AG220" s="44"/>
    </row>
    <row r="221" spans="1:33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5"/>
      <c r="AF221" s="44"/>
      <c r="AG221" s="44"/>
    </row>
    <row r="222" spans="1:33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5"/>
      <c r="AF222" s="44"/>
      <c r="AG222" s="44"/>
    </row>
    <row r="223" spans="1:3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5"/>
      <c r="AF223" s="44"/>
      <c r="AG223" s="44"/>
    </row>
    <row r="224" spans="1:33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5"/>
      <c r="AF224" s="44"/>
      <c r="AG224" s="44"/>
    </row>
    <row r="225" spans="1:33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5"/>
      <c r="AF225" s="44"/>
      <c r="AG225" s="44"/>
    </row>
    <row r="226" spans="1:33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5"/>
      <c r="AF226" s="44"/>
      <c r="AG226" s="44"/>
    </row>
    <row r="227" spans="1:33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5"/>
      <c r="AF227" s="44"/>
      <c r="AG227" s="44"/>
    </row>
    <row r="228" spans="1:33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5"/>
      <c r="AF228" s="44"/>
      <c r="AG228" s="44"/>
    </row>
    <row r="229" spans="1:33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5"/>
      <c r="AF229" s="44"/>
      <c r="AG229" s="44"/>
    </row>
    <row r="230" spans="1:33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5"/>
      <c r="AF230" s="44"/>
      <c r="AG230" s="44"/>
    </row>
    <row r="231" spans="1:33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5"/>
      <c r="AF231" s="44"/>
      <c r="AG231" s="44"/>
    </row>
    <row r="232" spans="1:33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5"/>
      <c r="AF232" s="44"/>
      <c r="AG232" s="44"/>
    </row>
    <row r="233" spans="1: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5"/>
      <c r="AF233" s="44"/>
      <c r="AG233" s="44"/>
    </row>
    <row r="234" spans="1:33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5"/>
      <c r="AF234" s="44"/>
      <c r="AG234" s="44"/>
    </row>
    <row r="235" spans="1:33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5"/>
      <c r="AF235" s="44"/>
      <c r="AG235" s="44"/>
    </row>
    <row r="236" spans="1:33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5"/>
      <c r="AF236" s="44"/>
      <c r="AG236" s="44"/>
    </row>
    <row r="237" spans="1:33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5"/>
      <c r="AF237" s="44"/>
      <c r="AG237" s="44"/>
    </row>
    <row r="238" spans="1:33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5"/>
      <c r="AF238" s="44"/>
      <c r="AG238" s="44"/>
    </row>
    <row r="239" spans="1:33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5"/>
      <c r="AF239" s="44"/>
      <c r="AG239" s="44"/>
    </row>
    <row r="240" spans="1:33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5"/>
      <c r="AF240" s="44"/>
      <c r="AG240" s="44"/>
    </row>
    <row r="241" spans="1:33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5"/>
      <c r="AF241" s="44"/>
      <c r="AG241" s="44"/>
    </row>
    <row r="242" spans="1:33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5"/>
      <c r="AF242" s="44"/>
      <c r="AG242" s="44"/>
    </row>
    <row r="243" spans="1:3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5"/>
      <c r="AF243" s="44"/>
      <c r="AG243" s="44"/>
    </row>
    <row r="244" spans="1:33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5"/>
      <c r="AF244" s="44"/>
      <c r="AG244" s="44"/>
    </row>
    <row r="245" spans="1:33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5"/>
      <c r="AF245" s="44"/>
      <c r="AG245" s="44"/>
    </row>
    <row r="246" spans="1:33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5"/>
      <c r="AF246" s="44"/>
      <c r="AG246" s="44"/>
    </row>
    <row r="247" spans="1:33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5"/>
      <c r="AF247" s="44"/>
      <c r="AG247" s="44"/>
    </row>
    <row r="248" spans="1:33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5"/>
      <c r="AF248" s="44"/>
      <c r="AG248" s="44"/>
    </row>
    <row r="249" spans="1:33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5"/>
      <c r="AF249" s="44"/>
      <c r="AG249" s="44"/>
    </row>
    <row r="250" spans="1:33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5"/>
      <c r="AF250" s="44"/>
      <c r="AG250" s="44"/>
    </row>
    <row r="251" spans="1:33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5"/>
      <c r="AF251" s="44"/>
      <c r="AG251" s="44"/>
    </row>
    <row r="252" spans="1:33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5"/>
      <c r="AF252" s="44"/>
      <c r="AG252" s="44"/>
    </row>
    <row r="253" spans="1:3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5"/>
      <c r="AF253" s="44"/>
      <c r="AG253" s="44"/>
    </row>
    <row r="254" spans="1:33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5"/>
      <c r="AF254" s="44"/>
      <c r="AG254" s="44"/>
    </row>
    <row r="255" spans="1:33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5"/>
      <c r="AF255" s="44"/>
      <c r="AG255" s="44"/>
    </row>
    <row r="256" spans="1:33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5"/>
      <c r="AF256" s="44"/>
      <c r="AG256" s="44"/>
    </row>
    <row r="257" spans="1:33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5"/>
      <c r="AF257" s="44"/>
      <c r="AG257" s="44"/>
    </row>
    <row r="258" spans="1:33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5"/>
      <c r="AF258" s="44"/>
      <c r="AG258" s="44"/>
    </row>
    <row r="259" spans="1:33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5"/>
      <c r="AF259" s="44"/>
      <c r="AG259" s="44"/>
    </row>
    <row r="260" spans="1:33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5"/>
      <c r="AF260" s="44"/>
      <c r="AG260" s="44"/>
    </row>
    <row r="261" spans="1:33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5"/>
      <c r="AF261" s="44"/>
      <c r="AG261" s="44"/>
    </row>
    <row r="262" spans="1:33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5"/>
      <c r="AF262" s="44"/>
      <c r="AG262" s="44"/>
    </row>
    <row r="263" spans="1:3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5"/>
      <c r="AF263" s="44"/>
      <c r="AG263" s="44"/>
    </row>
    <row r="264" spans="1:33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5"/>
      <c r="AF264" s="44"/>
      <c r="AG264" s="44"/>
    </row>
    <row r="265" spans="1:33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5"/>
      <c r="AF265" s="44"/>
      <c r="AG265" s="44"/>
    </row>
    <row r="266" spans="1:33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5"/>
      <c r="AF266" s="44"/>
      <c r="AG266" s="44"/>
    </row>
    <row r="267" spans="1:33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5"/>
      <c r="AF267" s="44"/>
      <c r="AG267" s="44"/>
    </row>
    <row r="268" spans="1:33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5"/>
      <c r="AF268" s="44"/>
      <c r="AG268" s="44"/>
    </row>
    <row r="269" spans="1:33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5"/>
      <c r="AF269" s="44"/>
      <c r="AG269" s="44"/>
    </row>
    <row r="270" spans="1:33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5"/>
      <c r="AF270" s="44"/>
      <c r="AG270" s="44"/>
    </row>
    <row r="271" spans="1:33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5"/>
      <c r="AF271" s="44"/>
      <c r="AG271" s="44"/>
    </row>
    <row r="272" spans="1:33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5"/>
      <c r="AF272" s="44"/>
      <c r="AG272" s="44"/>
    </row>
    <row r="273" spans="1:3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5"/>
      <c r="AF273" s="44"/>
      <c r="AG273" s="44"/>
    </row>
    <row r="274" spans="1:33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5"/>
      <c r="AF274" s="44"/>
      <c r="AG274" s="44"/>
    </row>
    <row r="275" spans="1:33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5"/>
      <c r="AF275" s="44"/>
      <c r="AG275" s="44"/>
    </row>
    <row r="276" spans="1:33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5"/>
      <c r="AF276" s="44"/>
      <c r="AG276" s="44"/>
    </row>
    <row r="277" spans="1:33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5"/>
      <c r="AF277" s="44"/>
      <c r="AG277" s="44"/>
    </row>
    <row r="278" spans="1:33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5"/>
      <c r="AF278" s="44"/>
      <c r="AG278" s="44"/>
    </row>
    <row r="279" spans="1:33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5"/>
      <c r="AF279" s="44"/>
      <c r="AG279" s="44"/>
    </row>
    <row r="280" spans="1:33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5"/>
      <c r="AF280" s="44"/>
      <c r="AG280" s="44"/>
    </row>
    <row r="281" spans="1:33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5"/>
      <c r="AF281" s="44"/>
      <c r="AG281" s="44"/>
    </row>
    <row r="282" spans="1:33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5"/>
      <c r="AF282" s="44"/>
      <c r="AG282" s="44"/>
    </row>
    <row r="283" spans="1:3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5"/>
      <c r="AF283" s="44"/>
      <c r="AG283" s="44"/>
    </row>
    <row r="284" spans="1:33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5"/>
      <c r="AF284" s="44"/>
      <c r="AG284" s="44"/>
    </row>
    <row r="285" spans="1:33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5"/>
      <c r="AF285" s="44"/>
      <c r="AG285" s="44"/>
    </row>
    <row r="286" spans="1:33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5"/>
      <c r="AF286" s="44"/>
      <c r="AG286" s="44"/>
    </row>
    <row r="287" spans="1:33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5"/>
      <c r="AF287" s="44"/>
      <c r="AG287" s="44"/>
    </row>
    <row r="288" spans="1:33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5"/>
      <c r="AF288" s="44"/>
      <c r="AG288" s="44"/>
    </row>
    <row r="289" spans="1:33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5"/>
      <c r="AF289" s="44"/>
      <c r="AG289" s="44"/>
    </row>
    <row r="290" spans="1:33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5"/>
      <c r="AF290" s="44"/>
      <c r="AG290" s="44"/>
    </row>
    <row r="291" spans="1:33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5"/>
      <c r="AF291" s="44"/>
      <c r="AG291" s="44"/>
    </row>
    <row r="292" spans="1:33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5"/>
      <c r="AF292" s="44"/>
      <c r="AG292" s="44"/>
    </row>
    <row r="293" spans="1:3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5"/>
      <c r="AF293" s="44"/>
      <c r="AG293" s="44"/>
    </row>
    <row r="294" spans="1:33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5"/>
      <c r="AF294" s="44"/>
      <c r="AG294" s="44"/>
    </row>
    <row r="295" spans="1:33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5"/>
      <c r="AF295" s="44"/>
      <c r="AG295" s="44"/>
    </row>
    <row r="296" spans="1:33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5"/>
      <c r="AF296" s="44"/>
      <c r="AG296" s="44"/>
    </row>
    <row r="297" spans="1:33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5"/>
      <c r="AF297" s="44"/>
      <c r="AG297" s="44"/>
    </row>
    <row r="298" spans="1:33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5"/>
      <c r="AF298" s="44"/>
      <c r="AG298" s="44"/>
    </row>
    <row r="299" spans="1:33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5"/>
      <c r="AF299" s="44"/>
      <c r="AG299" s="44"/>
    </row>
    <row r="300" spans="1:33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5"/>
      <c r="AF300" s="44"/>
      <c r="AG300" s="44"/>
    </row>
    <row r="301" spans="1:33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5"/>
      <c r="AF301" s="44"/>
      <c r="AG301" s="44"/>
    </row>
    <row r="302" spans="1:33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5"/>
      <c r="AF302" s="44"/>
      <c r="AG302" s="44"/>
    </row>
    <row r="303" spans="1:3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5"/>
      <c r="AF303" s="44"/>
      <c r="AG303" s="44"/>
    </row>
    <row r="304" spans="1:33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5"/>
      <c r="AF304" s="44"/>
      <c r="AG304" s="44"/>
    </row>
    <row r="305" spans="1:33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5"/>
      <c r="AF305" s="44"/>
      <c r="AG305" s="44"/>
    </row>
    <row r="306" spans="1:33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5"/>
      <c r="AF306" s="44"/>
      <c r="AG306" s="44"/>
    </row>
    <row r="307" spans="1:33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5"/>
      <c r="AF307" s="44"/>
      <c r="AG307" s="44"/>
    </row>
    <row r="308" spans="1:33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5"/>
      <c r="AF308" s="44"/>
      <c r="AG308" s="44"/>
    </row>
    <row r="309" spans="1:33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5"/>
      <c r="AF309" s="44"/>
      <c r="AG309" s="44"/>
    </row>
    <row r="310" spans="1:33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5"/>
      <c r="AF310" s="44"/>
      <c r="AG310" s="44"/>
    </row>
    <row r="311" spans="1:33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5"/>
      <c r="AF311" s="44"/>
      <c r="AG311" s="44"/>
    </row>
    <row r="312" spans="1:33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5"/>
      <c r="AF312" s="44"/>
      <c r="AG312" s="44"/>
    </row>
    <row r="313" spans="1:3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5"/>
      <c r="AF313" s="44"/>
      <c r="AG313" s="44"/>
    </row>
    <row r="314" spans="1:33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5"/>
      <c r="AF314" s="44"/>
      <c r="AG314" s="44"/>
    </row>
    <row r="315" spans="1:33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5"/>
      <c r="AF315" s="44"/>
      <c r="AG315" s="44"/>
    </row>
    <row r="316" spans="1:33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5"/>
      <c r="AF316" s="44"/>
      <c r="AG316" s="44"/>
    </row>
    <row r="317" spans="1:33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5"/>
      <c r="AF317" s="44"/>
      <c r="AG317" s="44"/>
    </row>
    <row r="318" spans="1:33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5"/>
      <c r="AF318" s="44"/>
      <c r="AG318" s="44"/>
    </row>
    <row r="319" spans="1:33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5"/>
      <c r="AF319" s="44"/>
      <c r="AG319" s="44"/>
    </row>
    <row r="320" spans="1:33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5"/>
      <c r="AF320" s="44"/>
      <c r="AG320" s="44"/>
    </row>
    <row r="321" spans="1:33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5"/>
      <c r="AF321" s="44"/>
      <c r="AG321" s="44"/>
    </row>
    <row r="322" spans="1:33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5"/>
      <c r="AF322" s="44"/>
      <c r="AG322" s="44"/>
    </row>
    <row r="323" spans="1:3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5"/>
      <c r="AF323" s="44"/>
      <c r="AG323" s="44"/>
    </row>
    <row r="324" spans="1:33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5"/>
      <c r="AF324" s="44"/>
      <c r="AG324" s="44"/>
    </row>
    <row r="325" spans="1:33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5"/>
      <c r="AF325" s="44"/>
      <c r="AG325" s="44"/>
    </row>
    <row r="326" spans="1:33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5"/>
      <c r="AF326" s="44"/>
      <c r="AG326" s="44"/>
    </row>
    <row r="327" spans="1:33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5"/>
      <c r="AF327" s="44"/>
      <c r="AG327" s="44"/>
    </row>
    <row r="328" spans="1:33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5"/>
      <c r="AF328" s="44"/>
      <c r="AG328" s="44"/>
    </row>
    <row r="329" spans="1:33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5"/>
      <c r="AF329" s="44"/>
      <c r="AG329" s="44"/>
    </row>
    <row r="330" spans="1:33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5"/>
      <c r="AF330" s="44"/>
      <c r="AG330" s="44"/>
    </row>
    <row r="331" spans="1:33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5"/>
      <c r="AF331" s="44"/>
      <c r="AG331" s="44"/>
    </row>
    <row r="332" spans="1:33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5"/>
      <c r="AF332" s="44"/>
      <c r="AG332" s="44"/>
    </row>
    <row r="333" spans="1: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5"/>
      <c r="AF333" s="44"/>
      <c r="AG333" s="44"/>
    </row>
    <row r="334" spans="1:33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5"/>
      <c r="AF334" s="44"/>
      <c r="AG334" s="44"/>
    </row>
    <row r="335" spans="1:33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5"/>
      <c r="AF335" s="44"/>
      <c r="AG335" s="44"/>
    </row>
    <row r="336" spans="1:33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5"/>
      <c r="AF336" s="44"/>
      <c r="AG336" s="44"/>
    </row>
    <row r="337" spans="1:33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5"/>
      <c r="AF337" s="44"/>
      <c r="AG337" s="44"/>
    </row>
    <row r="338" spans="1:33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5"/>
      <c r="AF338" s="44"/>
      <c r="AG338" s="44"/>
    </row>
    <row r="339" spans="1:33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5"/>
      <c r="AF339" s="44"/>
      <c r="AG339" s="44"/>
    </row>
    <row r="340" spans="1:33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5"/>
      <c r="AF340" s="44"/>
      <c r="AG340" s="44"/>
    </row>
    <row r="341" spans="1:33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5"/>
      <c r="AF341" s="44"/>
      <c r="AG341" s="44"/>
    </row>
    <row r="342" spans="1:33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5"/>
      <c r="AF342" s="44"/>
      <c r="AG342" s="44"/>
    </row>
    <row r="343" spans="1:3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5"/>
      <c r="AF343" s="44"/>
      <c r="AG343" s="44"/>
    </row>
    <row r="344" spans="1:33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5"/>
      <c r="AF344" s="44"/>
      <c r="AG344" s="44"/>
    </row>
    <row r="345" spans="1:33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5"/>
      <c r="AF345" s="44"/>
      <c r="AG345" s="44"/>
    </row>
    <row r="346" spans="1:33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5"/>
      <c r="AF346" s="44"/>
      <c r="AG346" s="44"/>
    </row>
    <row r="347" spans="1:33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5"/>
      <c r="AF347" s="44"/>
      <c r="AG347" s="44"/>
    </row>
    <row r="348" spans="1:33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5"/>
      <c r="AF348" s="44"/>
      <c r="AG348" s="44"/>
    </row>
    <row r="349" spans="1:33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5"/>
      <c r="AF349" s="44"/>
      <c r="AG349" s="44"/>
    </row>
    <row r="350" spans="1:33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5"/>
      <c r="AF350" s="44"/>
      <c r="AG350" s="44"/>
    </row>
    <row r="351" spans="1:33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5"/>
      <c r="AF351" s="44"/>
      <c r="AG351" s="44"/>
    </row>
    <row r="352" spans="1:33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5"/>
      <c r="AF352" s="44"/>
      <c r="AG352" s="44"/>
    </row>
    <row r="353" spans="1:3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5"/>
      <c r="AF353" s="44"/>
      <c r="AG353" s="44"/>
    </row>
    <row r="354" spans="1:33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5"/>
      <c r="AF354" s="44"/>
      <c r="AG354" s="44"/>
    </row>
    <row r="355" spans="1:33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5"/>
      <c r="AF355" s="44"/>
      <c r="AG355" s="44"/>
    </row>
    <row r="356" spans="1:33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5"/>
      <c r="AF356" s="44"/>
      <c r="AG356" s="44"/>
    </row>
    <row r="357" spans="1:33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5"/>
      <c r="AF357" s="44"/>
      <c r="AG357" s="44"/>
    </row>
    <row r="358" spans="1:33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5"/>
      <c r="AF358" s="44"/>
      <c r="AG358" s="44"/>
    </row>
    <row r="359" spans="1:33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5"/>
      <c r="AF359" s="44"/>
      <c r="AG359" s="44"/>
    </row>
    <row r="360" spans="1:33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5"/>
      <c r="AF360" s="44"/>
      <c r="AG360" s="44"/>
    </row>
    <row r="361" spans="1:33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5"/>
      <c r="AF361" s="44"/>
      <c r="AG361" s="44"/>
    </row>
    <row r="362" spans="1:33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5"/>
      <c r="AF362" s="44"/>
      <c r="AG362" s="44"/>
    </row>
    <row r="363" spans="1:3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5"/>
      <c r="AF363" s="44"/>
      <c r="AG363" s="44"/>
    </row>
    <row r="364" spans="1:33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5"/>
      <c r="AF364" s="44"/>
      <c r="AG364" s="44"/>
    </row>
    <row r="365" spans="1:33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5"/>
      <c r="AF365" s="44"/>
      <c r="AG365" s="44"/>
    </row>
    <row r="366" spans="1:33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5"/>
      <c r="AF366" s="44"/>
      <c r="AG366" s="44"/>
    </row>
    <row r="367" spans="1:33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5"/>
      <c r="AF367" s="44"/>
      <c r="AG367" s="44"/>
    </row>
    <row r="368" spans="1:33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5"/>
      <c r="AF368" s="44"/>
      <c r="AG368" s="44"/>
    </row>
    <row r="369" spans="1:33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5"/>
      <c r="AF369" s="44"/>
      <c r="AG369" s="44"/>
    </row>
    <row r="370" spans="1:33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5"/>
      <c r="AF370" s="44"/>
      <c r="AG370" s="44"/>
    </row>
    <row r="371" spans="1:33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5"/>
      <c r="AF371" s="44"/>
      <c r="AG371" s="44"/>
    </row>
    <row r="372" spans="1:33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5"/>
      <c r="AF372" s="44"/>
      <c r="AG372" s="44"/>
    </row>
    <row r="373" spans="1:3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5"/>
      <c r="AF373" s="44"/>
      <c r="AG373" s="44"/>
    </row>
    <row r="374" spans="1:33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5"/>
      <c r="AF374" s="44"/>
      <c r="AG374" s="44"/>
    </row>
    <row r="375" spans="1:33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5"/>
      <c r="AF375" s="44"/>
      <c r="AG375" s="44"/>
    </row>
    <row r="376" spans="1:33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5"/>
      <c r="AF376" s="44"/>
      <c r="AG376" s="44"/>
    </row>
    <row r="377" spans="1:33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5"/>
      <c r="AF377" s="44"/>
      <c r="AG377" s="44"/>
    </row>
    <row r="378" spans="1:33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5"/>
      <c r="AF378" s="44"/>
      <c r="AG378" s="44"/>
    </row>
    <row r="379" spans="1:33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5"/>
      <c r="AF379" s="44"/>
      <c r="AG379" s="44"/>
    </row>
    <row r="380" spans="1:33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5"/>
      <c r="AF380" s="44"/>
      <c r="AG380" s="44"/>
    </row>
    <row r="381" spans="1:33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5"/>
      <c r="AF381" s="44"/>
      <c r="AG381" s="44"/>
    </row>
    <row r="382" spans="1:33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5"/>
      <c r="AF382" s="44"/>
      <c r="AG382" s="44"/>
    </row>
    <row r="383" spans="1:3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5"/>
      <c r="AF383" s="44"/>
      <c r="AG383" s="44"/>
    </row>
    <row r="384" spans="1:33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5"/>
      <c r="AF384" s="44"/>
      <c r="AG384" s="44"/>
    </row>
    <row r="385" spans="1:33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5"/>
      <c r="AF385" s="44"/>
      <c r="AG385" s="44"/>
    </row>
    <row r="386" spans="1:33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5"/>
      <c r="AF386" s="44"/>
      <c r="AG386" s="44"/>
    </row>
    <row r="387" spans="1:33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5"/>
      <c r="AF387" s="44"/>
      <c r="AG387" s="44"/>
    </row>
    <row r="388" spans="1:33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5"/>
      <c r="AF388" s="44"/>
      <c r="AG388" s="44"/>
    </row>
    <row r="389" spans="1:33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5"/>
      <c r="AF389" s="44"/>
      <c r="AG389" s="44"/>
    </row>
    <row r="390" spans="1:33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5"/>
      <c r="AF390" s="44"/>
      <c r="AG390" s="44"/>
    </row>
    <row r="391" spans="1:33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5"/>
      <c r="AF391" s="44"/>
      <c r="AG391" s="44"/>
    </row>
    <row r="392" spans="1:33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5"/>
      <c r="AF392" s="44"/>
      <c r="AG392" s="44"/>
    </row>
    <row r="393" spans="1:3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5"/>
      <c r="AF393" s="44"/>
      <c r="AG393" s="44"/>
    </row>
    <row r="394" spans="1:33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5"/>
      <c r="AF394" s="44"/>
      <c r="AG394" s="44"/>
    </row>
    <row r="395" spans="1:33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5"/>
      <c r="AF395" s="44"/>
      <c r="AG395" s="44"/>
    </row>
    <row r="396" spans="1:33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5"/>
      <c r="AF396" s="44"/>
      <c r="AG396" s="44"/>
    </row>
    <row r="397" spans="1:33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5"/>
      <c r="AF397" s="44"/>
      <c r="AG397" s="44"/>
    </row>
    <row r="398" spans="1:33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5"/>
      <c r="AF398" s="44"/>
      <c r="AG398" s="44"/>
    </row>
    <row r="399" spans="1:33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5"/>
      <c r="AF399" s="44"/>
      <c r="AG399" s="44"/>
    </row>
    <row r="400" spans="1:33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5"/>
      <c r="AF400" s="44"/>
      <c r="AG400" s="44"/>
    </row>
    <row r="401" spans="1:33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5"/>
      <c r="AF401" s="44"/>
      <c r="AG401" s="44"/>
    </row>
    <row r="402" spans="1:33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5"/>
      <c r="AF402" s="44"/>
      <c r="AG402" s="44"/>
    </row>
    <row r="403" spans="1:3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5"/>
      <c r="AF403" s="44"/>
      <c r="AG403" s="44"/>
    </row>
    <row r="404" spans="1:33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5"/>
      <c r="AF404" s="44"/>
      <c r="AG404" s="44"/>
    </row>
    <row r="405" spans="1:33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5"/>
      <c r="AF405" s="44"/>
      <c r="AG405" s="44"/>
    </row>
    <row r="406" spans="1:33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5"/>
      <c r="AF406" s="44"/>
      <c r="AG406" s="44"/>
    </row>
    <row r="407" spans="1:33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5"/>
      <c r="AF407" s="44"/>
      <c r="AG407" s="44"/>
    </row>
    <row r="408" spans="1:33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5"/>
      <c r="AF408" s="44"/>
      <c r="AG408" s="44"/>
    </row>
    <row r="409" spans="1:33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5"/>
      <c r="AF409" s="44"/>
      <c r="AG409" s="44"/>
    </row>
    <row r="410" spans="1:33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5"/>
      <c r="AF410" s="44"/>
      <c r="AG410" s="44"/>
    </row>
    <row r="411" spans="1:33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5"/>
      <c r="AF411" s="44"/>
      <c r="AG411" s="44"/>
    </row>
    <row r="412" spans="1:33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5"/>
      <c r="AF412" s="44"/>
      <c r="AG412" s="44"/>
    </row>
    <row r="413" spans="1:3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5"/>
      <c r="AF413" s="44"/>
      <c r="AG413" s="44"/>
    </row>
    <row r="414" spans="1:33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5"/>
      <c r="AF414" s="44"/>
      <c r="AG414" s="44"/>
    </row>
    <row r="415" spans="1:33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5"/>
      <c r="AF415" s="44"/>
      <c r="AG415" s="44"/>
    </row>
    <row r="416" spans="1:33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5"/>
      <c r="AF416" s="44"/>
      <c r="AG416" s="44"/>
    </row>
    <row r="417" spans="1:33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5"/>
      <c r="AF417" s="44"/>
      <c r="AG417" s="44"/>
    </row>
    <row r="418" spans="1:33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5"/>
      <c r="AF418" s="44"/>
      <c r="AG418" s="44"/>
    </row>
    <row r="419" spans="1:33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5"/>
      <c r="AF419" s="44"/>
      <c r="AG419" s="44"/>
    </row>
    <row r="420" spans="1:33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5"/>
      <c r="AF420" s="44"/>
      <c r="AG420" s="44"/>
    </row>
    <row r="421" spans="1:33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5"/>
      <c r="AF421" s="44"/>
      <c r="AG421" s="44"/>
    </row>
    <row r="422" spans="1:33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5"/>
      <c r="AF422" s="44"/>
      <c r="AG422" s="44"/>
    </row>
    <row r="423" spans="1:3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5"/>
      <c r="AF423" s="44"/>
      <c r="AG423" s="44"/>
    </row>
    <row r="424" spans="1:33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5"/>
      <c r="AF424" s="44"/>
      <c r="AG424" s="44"/>
    </row>
    <row r="425" spans="1:33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5"/>
      <c r="AF425" s="44"/>
      <c r="AG425" s="44"/>
    </row>
    <row r="426" spans="1:33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5"/>
      <c r="AF426" s="44"/>
      <c r="AG426" s="44"/>
    </row>
    <row r="427" spans="1:33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5"/>
      <c r="AF427" s="44"/>
      <c r="AG427" s="44"/>
    </row>
    <row r="428" spans="1:33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5"/>
      <c r="AF428" s="44"/>
      <c r="AG428" s="44"/>
    </row>
    <row r="429" spans="1:33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5"/>
      <c r="AF429" s="44"/>
      <c r="AG429" s="44"/>
    </row>
    <row r="430" spans="1:33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5"/>
      <c r="AF430" s="44"/>
      <c r="AG430" s="44"/>
    </row>
    <row r="431" spans="1:33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5"/>
      <c r="AF431" s="44"/>
      <c r="AG431" s="44"/>
    </row>
    <row r="432" spans="1:33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5"/>
      <c r="AF432" s="44"/>
      <c r="AG432" s="44"/>
    </row>
    <row r="433" spans="1: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5"/>
      <c r="AF433" s="44"/>
      <c r="AG433" s="44"/>
    </row>
    <row r="434" spans="1:33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5"/>
      <c r="AF434" s="44"/>
      <c r="AG434" s="44"/>
    </row>
    <row r="435" spans="1:33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5"/>
      <c r="AF435" s="44"/>
      <c r="AG435" s="44"/>
    </row>
    <row r="436" spans="1:33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5"/>
      <c r="AF436" s="44"/>
      <c r="AG436" s="44"/>
    </row>
    <row r="437" spans="1:33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5"/>
      <c r="AF437" s="44"/>
      <c r="AG437" s="44"/>
    </row>
    <row r="438" spans="1:33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5"/>
      <c r="AF438" s="44"/>
      <c r="AG438" s="44"/>
    </row>
    <row r="439" spans="1:33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5"/>
      <c r="AF439" s="44"/>
      <c r="AG439" s="44"/>
    </row>
    <row r="440" spans="1:33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5"/>
      <c r="AF440" s="44"/>
      <c r="AG440" s="44"/>
    </row>
    <row r="441" spans="1:33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5"/>
      <c r="AF441" s="44"/>
      <c r="AG441" s="44"/>
    </row>
    <row r="442" spans="1:33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5"/>
      <c r="AF442" s="44"/>
      <c r="AG442" s="44"/>
    </row>
    <row r="443" spans="1:3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5"/>
      <c r="AF443" s="44"/>
      <c r="AG443" s="44"/>
    </row>
    <row r="444" spans="1:33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5"/>
      <c r="AF444" s="44"/>
      <c r="AG444" s="44"/>
    </row>
    <row r="445" spans="1:33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5"/>
      <c r="AF445" s="44"/>
      <c r="AG445" s="44"/>
    </row>
    <row r="446" spans="1:33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5"/>
      <c r="AF446" s="44"/>
      <c r="AG446" s="44"/>
    </row>
    <row r="447" spans="1:33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5"/>
      <c r="AF447" s="44"/>
      <c r="AG447" s="44"/>
    </row>
    <row r="448" spans="1:33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5"/>
      <c r="AF448" s="44"/>
      <c r="AG448" s="44"/>
    </row>
    <row r="449" spans="1:33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5"/>
      <c r="AF449" s="44"/>
      <c r="AG449" s="44"/>
    </row>
    <row r="450" spans="1:33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5"/>
      <c r="AF450" s="44"/>
      <c r="AG450" s="44"/>
    </row>
    <row r="451" spans="1:33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5"/>
      <c r="AF451" s="44"/>
      <c r="AG451" s="44"/>
    </row>
    <row r="452" spans="1:33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5"/>
      <c r="AF452" s="44"/>
      <c r="AG452" s="44"/>
    </row>
    <row r="453" spans="1:3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5"/>
      <c r="AF453" s="44"/>
      <c r="AG453" s="44"/>
    </row>
    <row r="454" spans="1:33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5"/>
      <c r="AF454" s="44"/>
      <c r="AG454" s="44"/>
    </row>
    <row r="455" spans="1:33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5"/>
      <c r="AF455" s="44"/>
      <c r="AG455" s="44"/>
    </row>
    <row r="456" spans="1:33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5"/>
      <c r="AF456" s="44"/>
      <c r="AG456" s="44"/>
    </row>
    <row r="457" spans="1:33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5"/>
      <c r="AF457" s="44"/>
      <c r="AG457" s="44"/>
    </row>
    <row r="458" spans="1:33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5"/>
      <c r="AF458" s="44"/>
      <c r="AG458" s="44"/>
    </row>
    <row r="459" spans="1:33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5"/>
      <c r="AF459" s="44"/>
      <c r="AG459" s="44"/>
    </row>
    <row r="460" spans="1:33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5"/>
      <c r="AF460" s="44"/>
      <c r="AG460" s="44"/>
    </row>
    <row r="461" spans="1:33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5"/>
      <c r="AF461" s="44"/>
      <c r="AG461" s="44"/>
    </row>
    <row r="462" spans="1:33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5"/>
      <c r="AF462" s="44"/>
      <c r="AG462" s="44"/>
    </row>
    <row r="463" spans="1:3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5"/>
      <c r="AF463" s="44"/>
      <c r="AG463" s="44"/>
    </row>
    <row r="464" spans="1:33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5"/>
      <c r="AF464" s="44"/>
      <c r="AG464" s="44"/>
    </row>
    <row r="465" spans="1:33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5"/>
      <c r="AF465" s="44"/>
      <c r="AG465" s="44"/>
    </row>
    <row r="466" spans="1:33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5"/>
      <c r="AF466" s="44"/>
      <c r="AG466" s="44"/>
    </row>
    <row r="467" spans="1:33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5"/>
      <c r="AF467" s="44"/>
      <c r="AG467" s="44"/>
    </row>
    <row r="468" spans="1:33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5"/>
      <c r="AF468" s="44"/>
      <c r="AG468" s="44"/>
    </row>
    <row r="469" spans="1:33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5"/>
      <c r="AF469" s="44"/>
      <c r="AG469" s="44"/>
    </row>
    <row r="470" spans="1:33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5"/>
      <c r="AF470" s="44"/>
      <c r="AG470" s="44"/>
    </row>
    <row r="471" spans="1:33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5"/>
      <c r="AF471" s="44"/>
      <c r="AG471" s="44"/>
    </row>
    <row r="472" spans="1:33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5"/>
      <c r="AF472" s="44"/>
      <c r="AG472" s="44"/>
    </row>
    <row r="473" spans="1:3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5"/>
      <c r="AF473" s="44"/>
      <c r="AG473" s="44"/>
    </row>
    <row r="474" spans="1:33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5"/>
      <c r="AF474" s="44"/>
      <c r="AG474" s="44"/>
    </row>
    <row r="475" spans="1:33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5"/>
      <c r="AF475" s="44"/>
      <c r="AG475" s="44"/>
    </row>
    <row r="476" spans="1:33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5"/>
      <c r="AF476" s="44"/>
      <c r="AG476" s="44"/>
    </row>
    <row r="477" spans="1:33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5"/>
      <c r="AF477" s="44"/>
      <c r="AG477" s="44"/>
    </row>
    <row r="478" spans="1:33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5"/>
      <c r="AF478" s="44"/>
      <c r="AG478" s="44"/>
    </row>
    <row r="479" spans="1:33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5"/>
      <c r="AF479" s="44"/>
      <c r="AG479" s="44"/>
    </row>
    <row r="480" spans="1:33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5"/>
      <c r="AF480" s="44"/>
      <c r="AG480" s="44"/>
    </row>
    <row r="481" spans="1:33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5"/>
      <c r="AF481" s="44"/>
      <c r="AG481" s="44"/>
    </row>
    <row r="482" spans="1:33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5"/>
      <c r="AF482" s="44"/>
      <c r="AG482" s="44"/>
    </row>
    <row r="483" spans="1:3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5"/>
      <c r="AF483" s="44"/>
      <c r="AG483" s="44"/>
    </row>
    <row r="484" spans="1:33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5"/>
      <c r="AF484" s="44"/>
      <c r="AG484" s="44"/>
    </row>
    <row r="485" spans="1:33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5"/>
      <c r="AF485" s="44"/>
      <c r="AG485" s="44"/>
    </row>
    <row r="486" spans="1:33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5"/>
      <c r="AF486" s="44"/>
      <c r="AG486" s="44"/>
    </row>
    <row r="487" spans="1:33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5"/>
      <c r="AF487" s="44"/>
      <c r="AG487" s="44"/>
    </row>
    <row r="488" spans="1:33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5"/>
      <c r="AF488" s="44"/>
      <c r="AG488" s="44"/>
    </row>
    <row r="489" spans="1:33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5"/>
      <c r="AF489" s="44"/>
      <c r="AG489" s="44"/>
    </row>
    <row r="490" spans="1:33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5"/>
      <c r="AF490" s="44"/>
      <c r="AG490" s="44"/>
    </row>
    <row r="491" spans="1:33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5"/>
      <c r="AF491" s="44"/>
      <c r="AG491" s="44"/>
    </row>
    <row r="492" spans="1:33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5"/>
      <c r="AF492" s="44"/>
      <c r="AG492" s="44"/>
    </row>
    <row r="493" spans="1:3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5"/>
      <c r="AF493" s="44"/>
      <c r="AG493" s="44"/>
    </row>
    <row r="494" spans="1:33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5"/>
      <c r="AF494" s="44"/>
      <c r="AG494" s="44"/>
    </row>
    <row r="495" spans="1:33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5"/>
      <c r="AF495" s="44"/>
      <c r="AG495" s="44"/>
    </row>
    <row r="496" spans="1:33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5"/>
      <c r="AF496" s="44"/>
      <c r="AG496" s="44"/>
    </row>
    <row r="497" spans="1:33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5"/>
      <c r="AF497" s="44"/>
      <c r="AG497" s="44"/>
    </row>
    <row r="498" spans="1:33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5"/>
      <c r="AF498" s="44"/>
      <c r="AG498" s="44"/>
    </row>
    <row r="499" spans="1:33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5"/>
      <c r="AF499" s="44"/>
      <c r="AG499" s="44"/>
    </row>
    <row r="500" spans="1:33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5"/>
      <c r="AF500" s="44"/>
      <c r="AG500" s="44"/>
    </row>
    <row r="501" spans="1:33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5"/>
      <c r="AF501" s="44"/>
      <c r="AG501" s="44"/>
    </row>
    <row r="502" spans="1:33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5"/>
      <c r="AF502" s="44"/>
      <c r="AG502" s="44"/>
    </row>
    <row r="503" spans="1:3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5"/>
      <c r="AF503" s="44"/>
      <c r="AG503" s="44"/>
    </row>
    <row r="504" spans="1:33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5"/>
      <c r="AF504" s="44"/>
      <c r="AG504" s="44"/>
    </row>
    <row r="505" spans="1:33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5"/>
      <c r="AF505" s="44"/>
      <c r="AG505" s="44"/>
    </row>
    <row r="506" spans="1:33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5"/>
      <c r="AF506" s="44"/>
      <c r="AG506" s="44"/>
    </row>
    <row r="507" spans="1:33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5"/>
      <c r="AF507" s="44"/>
      <c r="AG507" s="44"/>
    </row>
    <row r="508" spans="1:33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5"/>
      <c r="AF508" s="44"/>
      <c r="AG508" s="44"/>
    </row>
    <row r="509" spans="1:33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5"/>
      <c r="AF509" s="44"/>
      <c r="AG509" s="44"/>
    </row>
    <row r="510" spans="1:33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5"/>
      <c r="AF510" s="44"/>
      <c r="AG510" s="44"/>
    </row>
    <row r="511" spans="1:33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5"/>
      <c r="AF511" s="44"/>
      <c r="AG511" s="44"/>
    </row>
    <row r="512" spans="1:33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5"/>
      <c r="AF512" s="44"/>
      <c r="AG512" s="44"/>
    </row>
    <row r="513" spans="1:3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5"/>
      <c r="AF513" s="44"/>
      <c r="AG513" s="44"/>
    </row>
    <row r="514" spans="1:33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5"/>
      <c r="AF514" s="44"/>
      <c r="AG514" s="44"/>
    </row>
    <row r="515" spans="1:33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5"/>
      <c r="AF515" s="44"/>
      <c r="AG515" s="44"/>
    </row>
    <row r="516" spans="1:33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5"/>
      <c r="AF516" s="44"/>
      <c r="AG516" s="44"/>
    </row>
    <row r="517" spans="1:33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5"/>
      <c r="AF517" s="44"/>
      <c r="AG517" s="44"/>
    </row>
    <row r="518" spans="1:33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5"/>
      <c r="AF518" s="44"/>
      <c r="AG518" s="44"/>
    </row>
    <row r="519" spans="1:33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5"/>
      <c r="AF519" s="44"/>
      <c r="AG519" s="44"/>
    </row>
    <row r="520" spans="1:33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5"/>
      <c r="AF520" s="44"/>
      <c r="AG520" s="44"/>
    </row>
    <row r="521" spans="1:33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5"/>
      <c r="AF521" s="44"/>
      <c r="AG521" s="44"/>
    </row>
    <row r="522" spans="1:33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5"/>
      <c r="AF522" s="44"/>
      <c r="AG522" s="44"/>
    </row>
    <row r="523" spans="1:3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5"/>
      <c r="AF523" s="44"/>
      <c r="AG523" s="44"/>
    </row>
    <row r="524" spans="1:33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5"/>
      <c r="AF524" s="44"/>
      <c r="AG524" s="44"/>
    </row>
    <row r="525" spans="1:33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5"/>
      <c r="AF525" s="44"/>
      <c r="AG525" s="44"/>
    </row>
    <row r="526" spans="1:33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5"/>
      <c r="AF526" s="44"/>
      <c r="AG526" s="44"/>
    </row>
    <row r="527" spans="1:33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5"/>
      <c r="AF527" s="44"/>
      <c r="AG527" s="44"/>
    </row>
    <row r="528" spans="1:33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5"/>
      <c r="AF528" s="44"/>
      <c r="AG528" s="44"/>
    </row>
    <row r="529" spans="1:33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5"/>
      <c r="AF529" s="44"/>
      <c r="AG529" s="44"/>
    </row>
    <row r="530" spans="1:33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5"/>
      <c r="AF530" s="44"/>
      <c r="AG530" s="44"/>
    </row>
    <row r="531" spans="1:33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5"/>
      <c r="AF531" s="44"/>
      <c r="AG531" s="44"/>
    </row>
    <row r="532" spans="1:33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5"/>
      <c r="AF532" s="44"/>
      <c r="AG532" s="44"/>
    </row>
    <row r="533" spans="1: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5"/>
      <c r="AF533" s="44"/>
      <c r="AG533" s="44"/>
    </row>
    <row r="534" spans="1:33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5"/>
      <c r="AF534" s="44"/>
      <c r="AG534" s="44"/>
    </row>
    <row r="535" spans="1:33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5"/>
      <c r="AF535" s="44"/>
      <c r="AG535" s="44"/>
    </row>
    <row r="536" spans="1:33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5"/>
      <c r="AF536" s="44"/>
      <c r="AG536" s="44"/>
    </row>
    <row r="537" spans="1:33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5"/>
      <c r="AF537" s="44"/>
      <c r="AG537" s="44"/>
    </row>
    <row r="538" spans="1:33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5"/>
      <c r="AF538" s="44"/>
      <c r="AG538" s="44"/>
    </row>
    <row r="539" spans="1:33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5"/>
      <c r="AF539" s="44"/>
      <c r="AG539" s="44"/>
    </row>
    <row r="540" spans="1:33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5"/>
      <c r="AF540" s="44"/>
      <c r="AG540" s="44"/>
    </row>
    <row r="541" spans="1:33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5"/>
      <c r="AF541" s="44"/>
      <c r="AG541" s="44"/>
    </row>
    <row r="542" spans="1:33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5"/>
      <c r="AF542" s="44"/>
      <c r="AG542" s="44"/>
    </row>
    <row r="543" spans="1:3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5"/>
      <c r="AF543" s="44"/>
      <c r="AG543" s="44"/>
    </row>
    <row r="544" spans="1:33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5"/>
      <c r="AF544" s="44"/>
      <c r="AG544" s="44"/>
    </row>
    <row r="545" spans="1:33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5"/>
      <c r="AF545" s="44"/>
      <c r="AG545" s="44"/>
    </row>
    <row r="546" spans="1:33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5"/>
      <c r="AF546" s="44"/>
      <c r="AG546" s="44"/>
    </row>
    <row r="547" spans="1:33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5"/>
      <c r="AF547" s="44"/>
      <c r="AG547" s="44"/>
    </row>
    <row r="548" spans="1:33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5"/>
      <c r="AF548" s="44"/>
      <c r="AG548" s="44"/>
    </row>
    <row r="549" spans="1:33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5"/>
      <c r="AF549" s="44"/>
      <c r="AG549" s="44"/>
    </row>
    <row r="550" spans="1:33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5"/>
      <c r="AF550" s="44"/>
      <c r="AG550" s="44"/>
    </row>
    <row r="551" spans="1:33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5"/>
      <c r="AF551" s="44"/>
      <c r="AG551" s="44"/>
    </row>
    <row r="552" spans="1:33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5"/>
      <c r="AF552" s="44"/>
      <c r="AG552" s="44"/>
    </row>
    <row r="553" spans="1:3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5"/>
      <c r="AF553" s="44"/>
      <c r="AG553" s="44"/>
    </row>
    <row r="554" spans="1:33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5"/>
      <c r="AF554" s="44"/>
      <c r="AG554" s="44"/>
    </row>
    <row r="555" spans="1:33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5"/>
      <c r="AF555" s="44"/>
      <c r="AG555" s="44"/>
    </row>
    <row r="556" spans="1:33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5"/>
      <c r="AF556" s="44"/>
      <c r="AG556" s="44"/>
    </row>
    <row r="557" spans="1:33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5"/>
      <c r="AF557" s="44"/>
      <c r="AG557" s="44"/>
    </row>
    <row r="558" spans="1:33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5"/>
      <c r="AF558" s="44"/>
      <c r="AG558" s="44"/>
    </row>
    <row r="559" spans="1:33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5"/>
      <c r="AF559" s="44"/>
      <c r="AG559" s="44"/>
    </row>
    <row r="560" spans="1:33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5"/>
      <c r="AF560" s="44"/>
      <c r="AG560" s="44"/>
    </row>
    <row r="561" spans="1:33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5"/>
      <c r="AF561" s="44"/>
      <c r="AG561" s="44"/>
    </row>
    <row r="562" spans="1:33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5"/>
      <c r="AF562" s="44"/>
      <c r="AG562" s="44"/>
    </row>
    <row r="563" spans="1:3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5"/>
      <c r="AF563" s="44"/>
      <c r="AG563" s="44"/>
    </row>
    <row r="564" spans="1:33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5"/>
      <c r="AF564" s="44"/>
      <c r="AG564" s="44"/>
    </row>
    <row r="565" spans="1:33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5"/>
      <c r="AF565" s="44"/>
      <c r="AG565" s="44"/>
    </row>
    <row r="566" spans="1:33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5"/>
      <c r="AF566" s="44"/>
      <c r="AG566" s="44"/>
    </row>
    <row r="567" spans="1:33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5"/>
      <c r="AF567" s="44"/>
      <c r="AG567" s="44"/>
    </row>
    <row r="568" spans="1:33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5"/>
      <c r="AF568" s="44"/>
      <c r="AG568" s="44"/>
    </row>
    <row r="569" spans="1:33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5"/>
      <c r="AF569" s="44"/>
      <c r="AG569" s="44"/>
    </row>
    <row r="570" spans="1:33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5"/>
      <c r="AF570" s="44"/>
      <c r="AG570" s="44"/>
    </row>
    <row r="571" spans="1:33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5"/>
      <c r="AF571" s="44"/>
      <c r="AG571" s="44"/>
    </row>
    <row r="572" spans="1:33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5"/>
      <c r="AF572" s="44"/>
      <c r="AG572" s="44"/>
    </row>
    <row r="573" spans="1:3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5"/>
      <c r="AF573" s="44"/>
      <c r="AG573" s="44"/>
    </row>
    <row r="574" spans="1:33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5"/>
      <c r="AF574" s="44"/>
      <c r="AG574" s="44"/>
    </row>
    <row r="575" spans="1:33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5"/>
      <c r="AF575" s="44"/>
      <c r="AG575" s="44"/>
    </row>
    <row r="576" spans="1:33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5"/>
      <c r="AF576" s="44"/>
      <c r="AG576" s="44"/>
    </row>
    <row r="577" spans="1:33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5"/>
      <c r="AF577" s="44"/>
      <c r="AG577" s="44"/>
    </row>
    <row r="578" spans="1:33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5"/>
      <c r="AF578" s="44"/>
      <c r="AG578" s="44"/>
    </row>
    <row r="579" spans="1:33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5"/>
      <c r="AF579" s="44"/>
      <c r="AG579" s="44"/>
    </row>
    <row r="580" spans="1:33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5"/>
      <c r="AF580" s="44"/>
      <c r="AG580" s="44"/>
    </row>
    <row r="581" spans="1:33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5"/>
      <c r="AF581" s="44"/>
      <c r="AG581" s="44"/>
    </row>
    <row r="582" spans="1:33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5"/>
      <c r="AF582" s="44"/>
      <c r="AG582" s="44"/>
    </row>
    <row r="583" spans="1:3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5"/>
      <c r="AF583" s="44"/>
      <c r="AG583" s="44"/>
    </row>
    <row r="584" spans="1:33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5"/>
      <c r="AF584" s="44"/>
      <c r="AG584" s="44"/>
    </row>
    <row r="585" spans="1:33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5"/>
      <c r="AF585" s="44"/>
      <c r="AG585" s="44"/>
    </row>
    <row r="586" spans="1:33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5"/>
      <c r="AF586" s="44"/>
      <c r="AG586" s="44"/>
    </row>
    <row r="587" spans="1:33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5"/>
      <c r="AF587" s="44"/>
      <c r="AG587" s="44"/>
    </row>
    <row r="588" spans="1:33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5"/>
      <c r="AF588" s="44"/>
      <c r="AG588" s="44"/>
    </row>
    <row r="589" spans="1:33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5"/>
      <c r="AF589" s="44"/>
      <c r="AG589" s="44"/>
    </row>
    <row r="590" spans="1:33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5"/>
      <c r="AF590" s="44"/>
      <c r="AG590" s="44"/>
    </row>
    <row r="591" spans="1:33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5"/>
      <c r="AF591" s="44"/>
      <c r="AG591" s="44"/>
    </row>
    <row r="592" spans="1:33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5"/>
      <c r="AF592" s="44"/>
      <c r="AG592" s="44"/>
    </row>
    <row r="593" spans="1:3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5"/>
      <c r="AF593" s="44"/>
      <c r="AG593" s="44"/>
    </row>
    <row r="594" spans="1:33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5"/>
      <c r="AF594" s="44"/>
      <c r="AG594" s="44"/>
    </row>
    <row r="595" spans="1:33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5"/>
      <c r="AF595" s="44"/>
      <c r="AG595" s="44"/>
    </row>
    <row r="596" spans="1:33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5"/>
      <c r="AF596" s="44"/>
      <c r="AG596" s="44"/>
    </row>
    <row r="597" spans="1:33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5"/>
      <c r="AF597" s="44"/>
      <c r="AG597" s="44"/>
    </row>
    <row r="598" spans="1:33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5"/>
      <c r="AF598" s="44"/>
      <c r="AG598" s="44"/>
    </row>
    <row r="599" spans="1:33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5"/>
      <c r="AF599" s="44"/>
      <c r="AG599" s="44"/>
    </row>
    <row r="600" spans="1:33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5"/>
      <c r="AF600" s="44"/>
      <c r="AG600" s="44"/>
    </row>
    <row r="601" spans="1:33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5"/>
      <c r="AF601" s="44"/>
      <c r="AG601" s="44"/>
    </row>
    <row r="602" spans="1:33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5"/>
      <c r="AF602" s="44"/>
      <c r="AG602" s="44"/>
    </row>
    <row r="603" spans="1:3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5"/>
      <c r="AF603" s="44"/>
      <c r="AG603" s="44"/>
    </row>
    <row r="604" spans="1:33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5"/>
      <c r="AF604" s="44"/>
      <c r="AG604" s="44"/>
    </row>
    <row r="605" spans="1:33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5"/>
      <c r="AF605" s="44"/>
      <c r="AG605" s="44"/>
    </row>
    <row r="606" spans="1:33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5"/>
      <c r="AF606" s="44"/>
      <c r="AG606" s="44"/>
    </row>
    <row r="607" spans="1:33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5"/>
      <c r="AF607" s="44"/>
      <c r="AG607" s="44"/>
    </row>
    <row r="608" spans="1:33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5"/>
      <c r="AF608" s="44"/>
      <c r="AG608" s="44"/>
    </row>
    <row r="609" spans="1:33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5"/>
      <c r="AF609" s="44"/>
      <c r="AG609" s="44"/>
    </row>
    <row r="610" spans="1:33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5"/>
      <c r="AF610" s="44"/>
      <c r="AG610" s="44"/>
    </row>
    <row r="611" spans="1:33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5"/>
      <c r="AF611" s="44"/>
      <c r="AG611" s="44"/>
    </row>
    <row r="612" spans="1:33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5"/>
      <c r="AF612" s="44"/>
      <c r="AG612" s="44"/>
    </row>
    <row r="613" spans="1:3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5"/>
      <c r="AF613" s="44"/>
      <c r="AG613" s="44"/>
    </row>
    <row r="614" spans="1:33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5"/>
      <c r="AF614" s="44"/>
      <c r="AG614" s="44"/>
    </row>
    <row r="615" spans="1:33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5"/>
      <c r="AF615" s="44"/>
      <c r="AG615" s="44"/>
    </row>
    <row r="616" spans="1:33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5"/>
      <c r="AF616" s="44"/>
      <c r="AG616" s="44"/>
    </row>
    <row r="617" spans="1:33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5"/>
      <c r="AF617" s="44"/>
      <c r="AG617" s="44"/>
    </row>
    <row r="618" spans="1:33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5"/>
      <c r="AF618" s="44"/>
      <c r="AG618" s="44"/>
    </row>
    <row r="619" spans="1:33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5"/>
      <c r="AF619" s="44"/>
      <c r="AG619" s="44"/>
    </row>
    <row r="620" spans="1:33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5"/>
      <c r="AF620" s="44"/>
      <c r="AG620" s="44"/>
    </row>
    <row r="621" spans="1:33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5"/>
      <c r="AF621" s="44"/>
      <c r="AG621" s="44"/>
    </row>
    <row r="622" spans="1:33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5"/>
      <c r="AF622" s="44"/>
      <c r="AG622" s="44"/>
    </row>
    <row r="623" spans="1:3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5"/>
      <c r="AF623" s="44"/>
      <c r="AG623" s="44"/>
    </row>
    <row r="624" spans="1:33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5"/>
      <c r="AF624" s="44"/>
      <c r="AG624" s="44"/>
    </row>
    <row r="625" spans="1:33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5"/>
      <c r="AF625" s="44"/>
      <c r="AG625" s="44"/>
    </row>
    <row r="626" spans="1:33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5"/>
      <c r="AF626" s="44"/>
      <c r="AG626" s="44"/>
    </row>
    <row r="627" spans="1:33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5"/>
      <c r="AF627" s="44"/>
      <c r="AG627" s="44"/>
    </row>
    <row r="628" spans="1:33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5"/>
      <c r="AF628" s="44"/>
      <c r="AG628" s="44"/>
    </row>
    <row r="629" spans="1:33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5"/>
      <c r="AF629" s="44"/>
      <c r="AG629" s="44"/>
    </row>
    <row r="630" spans="1:33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5"/>
      <c r="AF630" s="44"/>
      <c r="AG630" s="44"/>
    </row>
    <row r="631" spans="1:33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5"/>
      <c r="AF631" s="44"/>
      <c r="AG631" s="44"/>
    </row>
    <row r="632" spans="1:33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5"/>
      <c r="AF632" s="44"/>
      <c r="AG632" s="44"/>
    </row>
    <row r="633" spans="1: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5"/>
      <c r="AF633" s="44"/>
      <c r="AG633" s="44"/>
    </row>
    <row r="634" spans="1:33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5"/>
      <c r="AF634" s="44"/>
      <c r="AG634" s="44"/>
    </row>
    <row r="635" spans="1:33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5"/>
      <c r="AF635" s="44"/>
      <c r="AG635" s="44"/>
    </row>
    <row r="636" spans="1:33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5"/>
      <c r="AF636" s="44"/>
      <c r="AG636" s="44"/>
    </row>
    <row r="637" spans="1:33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5"/>
      <c r="AF637" s="44"/>
      <c r="AG637" s="44"/>
    </row>
    <row r="638" spans="1:33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5"/>
      <c r="AF638" s="44"/>
      <c r="AG638" s="44"/>
    </row>
    <row r="639" spans="1:33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5"/>
      <c r="AF639" s="44"/>
      <c r="AG639" s="44"/>
    </row>
    <row r="640" spans="1:33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5"/>
      <c r="AF640" s="44"/>
      <c r="AG640" s="44"/>
    </row>
    <row r="641" spans="1:33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5"/>
      <c r="AF641" s="44"/>
      <c r="AG641" s="44"/>
    </row>
    <row r="642" spans="1:33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5"/>
      <c r="AF642" s="44"/>
      <c r="AG642" s="44"/>
    </row>
    <row r="643" spans="1:3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5"/>
      <c r="AF643" s="44"/>
      <c r="AG643" s="44"/>
    </row>
    <row r="644" spans="1:33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5"/>
      <c r="AF644" s="44"/>
      <c r="AG644" s="44"/>
    </row>
    <row r="645" spans="1:33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5"/>
      <c r="AF645" s="44"/>
      <c r="AG645" s="44"/>
    </row>
    <row r="646" spans="1:33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5"/>
      <c r="AF646" s="44"/>
      <c r="AG646" s="44"/>
    </row>
    <row r="647" spans="1:33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5"/>
      <c r="AF647" s="44"/>
      <c r="AG647" s="44"/>
    </row>
    <row r="648" spans="1:33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5"/>
      <c r="AF648" s="44"/>
      <c r="AG648" s="44"/>
    </row>
    <row r="649" spans="1:33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5"/>
      <c r="AF649" s="44"/>
      <c r="AG649" s="44"/>
    </row>
    <row r="650" spans="1:33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5"/>
      <c r="AF650" s="44"/>
      <c r="AG650" s="44"/>
    </row>
    <row r="651" spans="1:33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5"/>
      <c r="AF651" s="44"/>
      <c r="AG651" s="44"/>
    </row>
    <row r="652" spans="1:33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5"/>
      <c r="AF652" s="44"/>
      <c r="AG652" s="44"/>
    </row>
    <row r="653" spans="1:3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5"/>
      <c r="AF653" s="44"/>
      <c r="AG653" s="44"/>
    </row>
    <row r="654" spans="1:33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5"/>
      <c r="AF654" s="44"/>
      <c r="AG654" s="44"/>
    </row>
    <row r="655" spans="1:33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5"/>
      <c r="AF655" s="44"/>
      <c r="AG655" s="44"/>
    </row>
    <row r="656" spans="1:33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5"/>
      <c r="AF656" s="44"/>
      <c r="AG656" s="44"/>
    </row>
    <row r="657" spans="1:33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5"/>
      <c r="AF657" s="44"/>
      <c r="AG657" s="44"/>
    </row>
    <row r="658" spans="1:33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5"/>
      <c r="AF658" s="44"/>
      <c r="AG658" s="44"/>
    </row>
    <row r="659" spans="1:33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5"/>
      <c r="AF659" s="44"/>
      <c r="AG659" s="44"/>
    </row>
    <row r="660" spans="1:33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5"/>
      <c r="AF660" s="44"/>
      <c r="AG660" s="44"/>
    </row>
    <row r="661" spans="1:33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5"/>
      <c r="AF661" s="44"/>
      <c r="AG661" s="44"/>
    </row>
    <row r="662" spans="1:33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5"/>
      <c r="AF662" s="44"/>
      <c r="AG662" s="44"/>
    </row>
    <row r="663" spans="1:3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5"/>
      <c r="AF663" s="44"/>
      <c r="AG663" s="44"/>
    </row>
    <row r="664" spans="1:33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5"/>
      <c r="AF664" s="44"/>
      <c r="AG664" s="44"/>
    </row>
    <row r="665" spans="1:33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5"/>
      <c r="AF665" s="44"/>
      <c r="AG665" s="44"/>
    </row>
    <row r="666" spans="1:33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5"/>
      <c r="AF666" s="44"/>
      <c r="AG666" s="44"/>
    </row>
    <row r="667" spans="1:33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5"/>
      <c r="AF667" s="44"/>
      <c r="AG667" s="44"/>
    </row>
    <row r="668" spans="1:33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5"/>
      <c r="AF668" s="44"/>
      <c r="AG668" s="44"/>
    </row>
    <row r="669" spans="1:33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5"/>
      <c r="AF669" s="44"/>
      <c r="AG669" s="44"/>
    </row>
    <row r="670" spans="1:33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5"/>
      <c r="AF670" s="44"/>
      <c r="AG670" s="44"/>
    </row>
    <row r="671" spans="1:33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5"/>
      <c r="AF671" s="44"/>
      <c r="AG671" s="44"/>
    </row>
    <row r="672" spans="1:33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5"/>
      <c r="AF672" s="44"/>
      <c r="AG672" s="44"/>
    </row>
    <row r="673" spans="1:3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5"/>
      <c r="AF673" s="44"/>
      <c r="AG673" s="44"/>
    </row>
    <row r="674" spans="1:33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5"/>
      <c r="AF674" s="44"/>
      <c r="AG674" s="44"/>
    </row>
    <row r="675" spans="1:33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5"/>
      <c r="AF675" s="44"/>
      <c r="AG675" s="44"/>
    </row>
    <row r="676" spans="1:33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5"/>
      <c r="AF676" s="44"/>
      <c r="AG676" s="44"/>
    </row>
    <row r="677" spans="1:33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5"/>
      <c r="AF677" s="44"/>
      <c r="AG677" s="44"/>
    </row>
    <row r="678" spans="1:33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5"/>
      <c r="AF678" s="44"/>
      <c r="AG678" s="44"/>
    </row>
    <row r="679" spans="1:33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5"/>
      <c r="AF679" s="44"/>
      <c r="AG679" s="44"/>
    </row>
    <row r="680" spans="1:33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5"/>
      <c r="AF680" s="44"/>
      <c r="AG680" s="44"/>
    </row>
    <row r="681" spans="1:33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5"/>
      <c r="AF681" s="44"/>
      <c r="AG681" s="44"/>
    </row>
    <row r="682" spans="1:33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5"/>
      <c r="AF682" s="44"/>
      <c r="AG682" s="44"/>
    </row>
    <row r="683" spans="1:3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5"/>
      <c r="AF683" s="44"/>
      <c r="AG683" s="44"/>
    </row>
    <row r="684" spans="1:33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5"/>
      <c r="AF684" s="44"/>
      <c r="AG684" s="44"/>
    </row>
    <row r="685" spans="1:33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5"/>
      <c r="AF685" s="44"/>
      <c r="AG685" s="44"/>
    </row>
    <row r="686" spans="1:33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5"/>
      <c r="AF686" s="44"/>
      <c r="AG686" s="44"/>
    </row>
    <row r="687" spans="1:33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5"/>
      <c r="AF687" s="44"/>
      <c r="AG687" s="44"/>
    </row>
    <row r="688" spans="1:33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5"/>
      <c r="AF688" s="44"/>
      <c r="AG688" s="44"/>
    </row>
    <row r="689" spans="1:33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5"/>
      <c r="AF689" s="44"/>
      <c r="AG689" s="44"/>
    </row>
    <row r="690" spans="1:33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5"/>
      <c r="AF690" s="44"/>
      <c r="AG690" s="44"/>
    </row>
    <row r="691" spans="1:33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5"/>
      <c r="AF691" s="44"/>
      <c r="AG691" s="44"/>
    </row>
    <row r="692" spans="1:33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5"/>
      <c r="AF692" s="44"/>
      <c r="AG692" s="44"/>
    </row>
    <row r="693" spans="1:3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5"/>
      <c r="AF693" s="44"/>
      <c r="AG693" s="44"/>
    </row>
    <row r="694" spans="1:33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5"/>
      <c r="AF694" s="44"/>
      <c r="AG694" s="44"/>
    </row>
    <row r="695" spans="1:33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5"/>
      <c r="AF695" s="44"/>
      <c r="AG695" s="44"/>
    </row>
    <row r="696" spans="1:33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5"/>
      <c r="AF696" s="44"/>
      <c r="AG696" s="44"/>
    </row>
    <row r="697" spans="1:33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5"/>
      <c r="AF697" s="44"/>
      <c r="AG697" s="44"/>
    </row>
    <row r="698" spans="1:33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5"/>
      <c r="AF698" s="44"/>
      <c r="AG698" s="44"/>
    </row>
    <row r="699" spans="1:33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5"/>
      <c r="AF699" s="44"/>
      <c r="AG699" s="44"/>
    </row>
    <row r="700" spans="1:33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5"/>
      <c r="AF700" s="44"/>
      <c r="AG700" s="44"/>
    </row>
    <row r="701" spans="1:33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5"/>
      <c r="AF701" s="44"/>
      <c r="AG701" s="44"/>
    </row>
    <row r="702" spans="1:33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5"/>
      <c r="AF702" s="44"/>
      <c r="AG702" s="44"/>
    </row>
    <row r="703" spans="1:3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5"/>
      <c r="AF703" s="44"/>
      <c r="AG703" s="44"/>
    </row>
    <row r="704" spans="1:33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5"/>
      <c r="AF704" s="44"/>
      <c r="AG704" s="44"/>
    </row>
    <row r="705" spans="1:33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5"/>
      <c r="AF705" s="44"/>
      <c r="AG705" s="44"/>
    </row>
    <row r="706" spans="1:33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5"/>
      <c r="AF706" s="44"/>
      <c r="AG706" s="44"/>
    </row>
    <row r="707" spans="1:33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5"/>
      <c r="AF707" s="44"/>
      <c r="AG707" s="44"/>
    </row>
    <row r="708" spans="1:33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5"/>
      <c r="AF708" s="44"/>
      <c r="AG708" s="44"/>
    </row>
    <row r="709" spans="1:33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5"/>
      <c r="AF709" s="44"/>
      <c r="AG709" s="44"/>
    </row>
    <row r="710" spans="1:33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5"/>
      <c r="AF710" s="44"/>
      <c r="AG710" s="44"/>
    </row>
    <row r="711" spans="1:33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5"/>
      <c r="AF711" s="44"/>
      <c r="AG711" s="44"/>
    </row>
    <row r="712" spans="1:33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5"/>
      <c r="AF712" s="44"/>
      <c r="AG712" s="44"/>
    </row>
    <row r="713" spans="1:3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5"/>
      <c r="AF713" s="44"/>
      <c r="AG713" s="44"/>
    </row>
    <row r="714" spans="1:33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5"/>
      <c r="AF714" s="44"/>
      <c r="AG714" s="44"/>
    </row>
    <row r="715" spans="1:33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5"/>
      <c r="AF715" s="44"/>
      <c r="AG715" s="44"/>
    </row>
    <row r="716" spans="1:33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5"/>
      <c r="AF716" s="44"/>
      <c r="AG716" s="44"/>
    </row>
    <row r="717" spans="1:33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5"/>
      <c r="AF717" s="44"/>
      <c r="AG717" s="44"/>
    </row>
    <row r="718" spans="1:33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5"/>
      <c r="AF718" s="44"/>
      <c r="AG718" s="44"/>
    </row>
    <row r="719" spans="1:33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5"/>
      <c r="AF719" s="44"/>
      <c r="AG719" s="44"/>
    </row>
    <row r="720" spans="1:33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5"/>
      <c r="AF720" s="44"/>
      <c r="AG720" s="44"/>
    </row>
    <row r="721" spans="1:33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5"/>
      <c r="AF721" s="44"/>
      <c r="AG721" s="44"/>
    </row>
    <row r="722" spans="1:33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5"/>
      <c r="AF722" s="44"/>
      <c r="AG722" s="44"/>
    </row>
    <row r="723" spans="1:3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5"/>
      <c r="AF723" s="44"/>
      <c r="AG723" s="44"/>
    </row>
    <row r="724" spans="1:33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5"/>
      <c r="AF724" s="44"/>
      <c r="AG724" s="44"/>
    </row>
    <row r="725" spans="1:33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5"/>
      <c r="AF725" s="44"/>
      <c r="AG725" s="44"/>
    </row>
    <row r="726" spans="1:33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5"/>
      <c r="AF726" s="44"/>
      <c r="AG726" s="44"/>
    </row>
    <row r="727" spans="1:33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5"/>
      <c r="AF727" s="44"/>
      <c r="AG727" s="44"/>
    </row>
    <row r="728" spans="1:33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5"/>
      <c r="AF728" s="44"/>
      <c r="AG728" s="44"/>
    </row>
    <row r="729" spans="1:33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5"/>
      <c r="AF729" s="44"/>
      <c r="AG729" s="44"/>
    </row>
    <row r="730" spans="1:33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5"/>
      <c r="AF730" s="44"/>
      <c r="AG730" s="44"/>
    </row>
    <row r="731" spans="1:33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5"/>
      <c r="AF731" s="44"/>
      <c r="AG731" s="44"/>
    </row>
    <row r="732" spans="1:33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5"/>
      <c r="AF732" s="44"/>
      <c r="AG732" s="44"/>
    </row>
    <row r="733" spans="1: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5"/>
      <c r="AF733" s="44"/>
      <c r="AG733" s="44"/>
    </row>
    <row r="734" spans="1:33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5"/>
      <c r="AF734" s="44"/>
      <c r="AG734" s="44"/>
    </row>
    <row r="735" spans="1:33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5"/>
      <c r="AF735" s="44"/>
      <c r="AG735" s="44"/>
    </row>
    <row r="736" spans="1:33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5"/>
      <c r="AF736" s="44"/>
      <c r="AG736" s="44"/>
    </row>
    <row r="737" spans="1:33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5"/>
      <c r="AF737" s="44"/>
      <c r="AG737" s="44"/>
    </row>
    <row r="738" spans="1:33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5"/>
      <c r="AF738" s="44"/>
      <c r="AG738" s="44"/>
    </row>
    <row r="739" spans="1:33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5"/>
      <c r="AF739" s="44"/>
      <c r="AG739" s="44"/>
    </row>
    <row r="740" spans="1:33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5"/>
      <c r="AF740" s="44"/>
      <c r="AG740" s="44"/>
    </row>
    <row r="741" spans="1:33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5"/>
      <c r="AF741" s="44"/>
      <c r="AG741" s="44"/>
    </row>
    <row r="742" spans="1:33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5"/>
      <c r="AF742" s="44"/>
      <c r="AG742" s="44"/>
    </row>
    <row r="743" spans="1:3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5"/>
      <c r="AF743" s="44"/>
      <c r="AG743" s="44"/>
    </row>
    <row r="744" spans="1:33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5"/>
      <c r="AF744" s="44"/>
      <c r="AG744" s="44"/>
    </row>
    <row r="745" spans="1:33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5"/>
      <c r="AF745" s="44"/>
      <c r="AG745" s="44"/>
    </row>
    <row r="746" spans="1:33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5"/>
      <c r="AF746" s="44"/>
      <c r="AG746" s="44"/>
    </row>
    <row r="747" spans="1:33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5"/>
      <c r="AF747" s="44"/>
      <c r="AG747" s="44"/>
    </row>
    <row r="748" spans="1:33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5"/>
      <c r="AF748" s="44"/>
      <c r="AG748" s="44"/>
    </row>
    <row r="749" spans="1:33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5"/>
      <c r="AF749" s="44"/>
      <c r="AG749" s="44"/>
    </row>
    <row r="750" spans="1:33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5"/>
      <c r="AF750" s="44"/>
      <c r="AG750" s="44"/>
    </row>
    <row r="751" spans="1:33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5"/>
      <c r="AF751" s="44"/>
      <c r="AG751" s="44"/>
    </row>
    <row r="752" spans="1:33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5"/>
      <c r="AF752" s="44"/>
      <c r="AG752" s="44"/>
    </row>
    <row r="753" spans="1:3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5"/>
      <c r="AF753" s="44"/>
      <c r="AG753" s="44"/>
    </row>
    <row r="754" spans="1:33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5"/>
      <c r="AF754" s="44"/>
      <c r="AG754" s="44"/>
    </row>
    <row r="755" spans="1:33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5"/>
      <c r="AF755" s="44"/>
      <c r="AG755" s="44"/>
    </row>
    <row r="756" spans="1:33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5"/>
      <c r="AF756" s="44"/>
      <c r="AG756" s="44"/>
    </row>
    <row r="757" spans="1:33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5"/>
      <c r="AF757" s="44"/>
      <c r="AG757" s="44"/>
    </row>
    <row r="758" spans="1:33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5"/>
      <c r="AF758" s="44"/>
      <c r="AG758" s="44"/>
    </row>
    <row r="759" spans="1:33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5"/>
      <c r="AF759" s="44"/>
      <c r="AG759" s="44"/>
    </row>
    <row r="760" spans="1:33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5"/>
      <c r="AF760" s="44"/>
      <c r="AG760" s="44"/>
    </row>
    <row r="761" spans="1:33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5"/>
      <c r="AF761" s="44"/>
      <c r="AG761" s="44"/>
    </row>
    <row r="762" spans="1:33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5"/>
      <c r="AF762" s="44"/>
      <c r="AG762" s="44"/>
    </row>
    <row r="763" spans="1:3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5"/>
      <c r="AF763" s="44"/>
      <c r="AG763" s="44"/>
    </row>
    <row r="764" spans="1:33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5"/>
      <c r="AF764" s="44"/>
      <c r="AG764" s="44"/>
    </row>
    <row r="765" spans="1:33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5"/>
      <c r="AF765" s="44"/>
      <c r="AG765" s="44"/>
    </row>
    <row r="766" spans="1:33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5"/>
      <c r="AF766" s="44"/>
      <c r="AG766" s="44"/>
    </row>
    <row r="767" spans="1:33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5"/>
      <c r="AF767" s="44"/>
      <c r="AG767" s="44"/>
    </row>
    <row r="768" spans="1:33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5"/>
      <c r="AF768" s="44"/>
      <c r="AG768" s="44"/>
    </row>
    <row r="769" spans="1:33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5"/>
      <c r="AF769" s="44"/>
      <c r="AG769" s="44"/>
    </row>
    <row r="770" spans="1:33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5"/>
      <c r="AF770" s="44"/>
      <c r="AG770" s="44"/>
    </row>
    <row r="771" spans="1:33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5"/>
      <c r="AF771" s="44"/>
      <c r="AG771" s="44"/>
    </row>
    <row r="772" spans="1:33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5"/>
      <c r="AF772" s="44"/>
      <c r="AG772" s="44"/>
    </row>
    <row r="773" spans="1:3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5"/>
      <c r="AF773" s="44"/>
      <c r="AG773" s="44"/>
    </row>
    <row r="774" spans="1:33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5"/>
      <c r="AF774" s="44"/>
      <c r="AG774" s="44"/>
    </row>
    <row r="775" spans="1:33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5"/>
      <c r="AF775" s="44"/>
      <c r="AG775" s="44"/>
    </row>
    <row r="776" spans="1:33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5"/>
      <c r="AF776" s="44"/>
      <c r="AG776" s="44"/>
    </row>
    <row r="777" spans="1:33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5"/>
      <c r="AF777" s="44"/>
      <c r="AG777" s="44"/>
    </row>
    <row r="778" spans="1:33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5"/>
      <c r="AF778" s="44"/>
      <c r="AG778" s="44"/>
    </row>
    <row r="779" spans="1:33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5"/>
      <c r="AF779" s="44"/>
      <c r="AG779" s="44"/>
    </row>
    <row r="780" spans="1:33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5"/>
      <c r="AF780" s="44"/>
      <c r="AG780" s="44"/>
    </row>
    <row r="781" spans="1:33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5"/>
      <c r="AF781" s="44"/>
      <c r="AG781" s="44"/>
    </row>
    <row r="782" spans="1:33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5"/>
      <c r="AF782" s="44"/>
      <c r="AG782" s="44"/>
    </row>
    <row r="783" spans="1:3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5"/>
      <c r="AF783" s="44"/>
      <c r="AG783" s="44"/>
    </row>
    <row r="784" spans="1:33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5"/>
      <c r="AF784" s="44"/>
      <c r="AG784" s="44"/>
    </row>
    <row r="785" spans="1:33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5"/>
      <c r="AF785" s="44"/>
      <c r="AG785" s="44"/>
    </row>
    <row r="786" spans="1:33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5"/>
      <c r="AF786" s="44"/>
      <c r="AG786" s="44"/>
    </row>
    <row r="787" spans="1:33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5"/>
      <c r="AF787" s="44"/>
      <c r="AG787" s="44"/>
    </row>
    <row r="788" spans="1:33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5"/>
      <c r="AF788" s="44"/>
      <c r="AG788" s="44"/>
    </row>
    <row r="789" spans="1:33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5"/>
      <c r="AF789" s="44"/>
      <c r="AG789" s="44"/>
    </row>
    <row r="790" spans="1:33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5"/>
      <c r="AF790" s="44"/>
      <c r="AG790" s="44"/>
    </row>
    <row r="791" spans="1:33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5"/>
      <c r="AF791" s="44"/>
      <c r="AG791" s="44"/>
    </row>
    <row r="792" spans="1:33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5"/>
      <c r="AF792" s="44"/>
      <c r="AG792" s="44"/>
    </row>
    <row r="793" spans="1:3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5"/>
      <c r="AF793" s="44"/>
      <c r="AG793" s="44"/>
    </row>
    <row r="794" spans="1:33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5"/>
      <c r="AF794" s="44"/>
      <c r="AG794" s="44"/>
    </row>
    <row r="795" spans="1:33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5"/>
      <c r="AF795" s="44"/>
      <c r="AG795" s="44"/>
    </row>
    <row r="796" spans="1:33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5"/>
      <c r="AF796" s="44"/>
      <c r="AG796" s="44"/>
    </row>
    <row r="797" spans="1:33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5"/>
      <c r="AF797" s="44"/>
      <c r="AG797" s="44"/>
    </row>
    <row r="798" spans="1:33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5"/>
      <c r="AF798" s="44"/>
      <c r="AG798" s="44"/>
    </row>
    <row r="799" spans="1:33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5"/>
      <c r="AF799" s="44"/>
      <c r="AG799" s="44"/>
    </row>
    <row r="800" spans="1:33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5"/>
      <c r="AF800" s="44"/>
      <c r="AG800" s="44"/>
    </row>
    <row r="801" spans="1:33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5"/>
      <c r="AF801" s="44"/>
      <c r="AG801" s="44"/>
    </row>
    <row r="802" spans="1:33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5"/>
      <c r="AF802" s="44"/>
      <c r="AG802" s="44"/>
    </row>
    <row r="803" spans="1:3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5"/>
      <c r="AF803" s="44"/>
      <c r="AG803" s="44"/>
    </row>
    <row r="804" spans="1:33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5"/>
      <c r="AF804" s="44"/>
      <c r="AG804" s="44"/>
    </row>
    <row r="805" spans="1:33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5"/>
      <c r="AF805" s="44"/>
      <c r="AG805" s="44"/>
    </row>
    <row r="806" spans="1:33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5"/>
      <c r="AF806" s="44"/>
      <c r="AG806" s="44"/>
    </row>
    <row r="807" spans="1:33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5"/>
      <c r="AF807" s="44"/>
      <c r="AG807" s="44"/>
    </row>
    <row r="808" spans="1:33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5"/>
      <c r="AF808" s="44"/>
      <c r="AG808" s="44"/>
    </row>
    <row r="809" spans="1:33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5"/>
      <c r="AF809" s="44"/>
      <c r="AG809" s="44"/>
    </row>
    <row r="810" spans="1:33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5"/>
      <c r="AF810" s="44"/>
      <c r="AG810" s="44"/>
    </row>
    <row r="811" spans="1:33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5"/>
      <c r="AF811" s="44"/>
      <c r="AG811" s="44"/>
    </row>
    <row r="812" spans="1:33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5"/>
      <c r="AF812" s="44"/>
      <c r="AG812" s="44"/>
    </row>
    <row r="813" spans="1:3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5"/>
      <c r="AF813" s="44"/>
      <c r="AG813" s="44"/>
    </row>
    <row r="814" spans="1:33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5"/>
      <c r="AF814" s="44"/>
      <c r="AG814" s="44"/>
    </row>
    <row r="815" spans="1:33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5"/>
      <c r="AF815" s="44"/>
      <c r="AG815" s="44"/>
    </row>
    <row r="816" spans="1:33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5"/>
      <c r="AF816" s="44"/>
      <c r="AG816" s="44"/>
    </row>
    <row r="817" spans="1:33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5"/>
      <c r="AF817" s="44"/>
      <c r="AG817" s="44"/>
    </row>
    <row r="818" spans="1:33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5"/>
      <c r="AF818" s="44"/>
      <c r="AG818" s="44"/>
    </row>
    <row r="819" spans="1:33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5"/>
      <c r="AF819" s="44"/>
      <c r="AG819" s="44"/>
    </row>
    <row r="820" spans="1:33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5"/>
      <c r="AF820" s="44"/>
      <c r="AG820" s="44"/>
    </row>
    <row r="821" spans="1:33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5"/>
      <c r="AF821" s="44"/>
      <c r="AG821" s="44"/>
    </row>
    <row r="822" spans="1:33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5"/>
      <c r="AF822" s="44"/>
      <c r="AG822" s="44"/>
    </row>
    <row r="823" spans="1:3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5"/>
      <c r="AF823" s="44"/>
      <c r="AG823" s="44"/>
    </row>
    <row r="824" spans="1:33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5"/>
      <c r="AF824" s="44"/>
      <c r="AG824" s="44"/>
    </row>
    <row r="825" spans="1:33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5"/>
      <c r="AF825" s="44"/>
      <c r="AG825" s="44"/>
    </row>
    <row r="826" spans="1:33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5"/>
      <c r="AF826" s="44"/>
      <c r="AG826" s="44"/>
    </row>
    <row r="827" spans="1:33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5"/>
      <c r="AF827" s="44"/>
      <c r="AG827" s="44"/>
    </row>
    <row r="828" spans="1:33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5"/>
      <c r="AF828" s="44"/>
      <c r="AG828" s="44"/>
    </row>
    <row r="829" spans="1:33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5"/>
      <c r="AF829" s="44"/>
      <c r="AG829" s="44"/>
    </row>
    <row r="830" spans="1:33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5"/>
      <c r="AF830" s="44"/>
      <c r="AG830" s="44"/>
    </row>
    <row r="831" spans="1:33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5"/>
      <c r="AF831" s="44"/>
      <c r="AG831" s="44"/>
    </row>
    <row r="832" spans="1:33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5"/>
      <c r="AF832" s="44"/>
      <c r="AG832" s="44"/>
    </row>
    <row r="833" spans="1: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5"/>
      <c r="AF833" s="44"/>
      <c r="AG833" s="44"/>
    </row>
    <row r="834" spans="1:33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5"/>
      <c r="AF834" s="44"/>
      <c r="AG834" s="44"/>
    </row>
    <row r="835" spans="1:33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5"/>
      <c r="AF835" s="44"/>
      <c r="AG835" s="44"/>
    </row>
    <row r="836" spans="1:33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5"/>
      <c r="AF836" s="44"/>
      <c r="AG836" s="44"/>
    </row>
    <row r="837" spans="1:33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5"/>
      <c r="AF837" s="44"/>
      <c r="AG837" s="44"/>
    </row>
    <row r="838" spans="1:33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5"/>
      <c r="AF838" s="44"/>
      <c r="AG838" s="44"/>
    </row>
    <row r="839" spans="1:33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5"/>
      <c r="AF839" s="44"/>
      <c r="AG839" s="44"/>
    </row>
    <row r="840" spans="1:33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5"/>
      <c r="AF840" s="44"/>
      <c r="AG840" s="44"/>
    </row>
    <row r="841" spans="1:33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5"/>
      <c r="AF841" s="44"/>
      <c r="AG841" s="44"/>
    </row>
    <row r="842" spans="1:33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5"/>
      <c r="AF842" s="44"/>
      <c r="AG842" s="44"/>
    </row>
    <row r="843" spans="1:3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5"/>
      <c r="AF843" s="44"/>
      <c r="AG843" s="44"/>
    </row>
    <row r="844" spans="1:33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5"/>
      <c r="AF844" s="44"/>
      <c r="AG844" s="44"/>
    </row>
    <row r="845" spans="1:33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5"/>
      <c r="AF845" s="44"/>
      <c r="AG845" s="44"/>
    </row>
    <row r="846" spans="1:33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5"/>
      <c r="AF846" s="44"/>
      <c r="AG846" s="44"/>
    </row>
    <row r="847" spans="1:33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5"/>
      <c r="AF847" s="44"/>
      <c r="AG847" s="44"/>
    </row>
    <row r="848" spans="1:33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5"/>
      <c r="AF848" s="44"/>
      <c r="AG848" s="44"/>
    </row>
    <row r="849" spans="1:33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5"/>
      <c r="AF849" s="44"/>
      <c r="AG849" s="44"/>
    </row>
    <row r="850" spans="1:33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5"/>
      <c r="AF850" s="44"/>
      <c r="AG850" s="44"/>
    </row>
    <row r="851" spans="1:33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5"/>
      <c r="AF851" s="44"/>
      <c r="AG851" s="44"/>
    </row>
    <row r="852" spans="1:33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5"/>
      <c r="AF852" s="44"/>
      <c r="AG852" s="44"/>
    </row>
    <row r="853" spans="1:3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5"/>
      <c r="AF853" s="44"/>
      <c r="AG853" s="44"/>
    </row>
    <row r="854" spans="1:33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5"/>
      <c r="AF854" s="44"/>
      <c r="AG854" s="44"/>
    </row>
    <row r="855" spans="1:33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5"/>
      <c r="AF855" s="44"/>
      <c r="AG855" s="44"/>
    </row>
    <row r="856" spans="1:33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5"/>
      <c r="AF856" s="44"/>
      <c r="AG856" s="44"/>
    </row>
    <row r="857" spans="1:33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5"/>
      <c r="AF857" s="44"/>
      <c r="AG857" s="44"/>
    </row>
    <row r="858" spans="1:33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5"/>
      <c r="AF858" s="44"/>
      <c r="AG858" s="44"/>
    </row>
    <row r="859" spans="1:33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5"/>
      <c r="AF859" s="44"/>
      <c r="AG859" s="44"/>
    </row>
    <row r="860" spans="1:33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5"/>
      <c r="AF860" s="44"/>
      <c r="AG860" s="44"/>
    </row>
    <row r="861" spans="1:33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5"/>
      <c r="AF861" s="44"/>
      <c r="AG861" s="44"/>
    </row>
    <row r="862" spans="1:33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5"/>
      <c r="AF862" s="44"/>
      <c r="AG862" s="44"/>
    </row>
    <row r="863" spans="1:3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5"/>
      <c r="AF863" s="44"/>
      <c r="AG863" s="44"/>
    </row>
    <row r="864" spans="1:33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5"/>
      <c r="AF864" s="44"/>
      <c r="AG864" s="44"/>
    </row>
    <row r="865" spans="1:33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5"/>
      <c r="AF865" s="44"/>
      <c r="AG865" s="44"/>
    </row>
    <row r="866" spans="1:33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5"/>
      <c r="AF866" s="44"/>
      <c r="AG866" s="44"/>
    </row>
    <row r="867" spans="1:33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5"/>
      <c r="AF867" s="44"/>
      <c r="AG867" s="44"/>
    </row>
    <row r="868" spans="1:33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5"/>
      <c r="AF868" s="44"/>
      <c r="AG868" s="44"/>
    </row>
    <row r="869" spans="1:33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5"/>
      <c r="AF869" s="44"/>
      <c r="AG869" s="44"/>
    </row>
    <row r="870" spans="1:33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5"/>
      <c r="AF870" s="44"/>
      <c r="AG870" s="44"/>
    </row>
    <row r="871" spans="1:33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5"/>
      <c r="AF871" s="44"/>
      <c r="AG871" s="44"/>
    </row>
    <row r="872" spans="1:33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5"/>
      <c r="AF872" s="44"/>
      <c r="AG872" s="44"/>
    </row>
    <row r="873" spans="1:3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5"/>
      <c r="AF873" s="44"/>
      <c r="AG873" s="44"/>
    </row>
    <row r="874" spans="1:33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5"/>
      <c r="AF874" s="44"/>
      <c r="AG874" s="44"/>
    </row>
    <row r="875" spans="1:33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5"/>
      <c r="AF875" s="44"/>
      <c r="AG875" s="44"/>
    </row>
    <row r="876" spans="1:33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5"/>
      <c r="AF876" s="44"/>
      <c r="AG876" s="44"/>
    </row>
    <row r="877" spans="1:33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5"/>
      <c r="AF877" s="44"/>
      <c r="AG877" s="44"/>
    </row>
    <row r="878" spans="1:33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5"/>
      <c r="AF878" s="44"/>
      <c r="AG878" s="44"/>
    </row>
    <row r="879" spans="1:33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5"/>
      <c r="AF879" s="44"/>
      <c r="AG879" s="44"/>
    </row>
    <row r="880" spans="1:33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5"/>
      <c r="AF880" s="44"/>
      <c r="AG880" s="44"/>
    </row>
    <row r="881" spans="1:33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5"/>
      <c r="AF881" s="44"/>
      <c r="AG881" s="44"/>
    </row>
    <row r="882" spans="1:33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5"/>
      <c r="AF882" s="44"/>
      <c r="AG882" s="44"/>
    </row>
    <row r="883" spans="1:3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5"/>
      <c r="AF883" s="44"/>
      <c r="AG883" s="44"/>
    </row>
    <row r="884" spans="1:33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5"/>
      <c r="AF884" s="44"/>
      <c r="AG884" s="44"/>
    </row>
    <row r="885" spans="1:33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5"/>
      <c r="AF885" s="44"/>
      <c r="AG885" s="44"/>
    </row>
    <row r="886" spans="1:33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5"/>
      <c r="AF886" s="44"/>
      <c r="AG886" s="44"/>
    </row>
    <row r="887" spans="1:33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5"/>
      <c r="AF887" s="44"/>
      <c r="AG887" s="44"/>
    </row>
    <row r="888" spans="1:33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5"/>
      <c r="AF888" s="44"/>
      <c r="AG888" s="44"/>
    </row>
    <row r="889" spans="1:33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5"/>
      <c r="AF889" s="44"/>
      <c r="AG889" s="44"/>
    </row>
    <row r="890" spans="1:33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5"/>
      <c r="AF890" s="44"/>
      <c r="AG890" s="44"/>
    </row>
    <row r="891" spans="1:33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5"/>
      <c r="AF891" s="44"/>
      <c r="AG891" s="44"/>
    </row>
    <row r="892" spans="1:33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5"/>
      <c r="AF892" s="44"/>
      <c r="AG892" s="44"/>
    </row>
    <row r="893" spans="1:3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5"/>
      <c r="AF893" s="44"/>
      <c r="AG893" s="44"/>
    </row>
    <row r="894" spans="1:33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5"/>
      <c r="AF894" s="44"/>
      <c r="AG894" s="44"/>
    </row>
    <row r="895" spans="1:33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5"/>
      <c r="AF895" s="44"/>
      <c r="AG895" s="44"/>
    </row>
    <row r="896" spans="1:33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5"/>
      <c r="AF896" s="44"/>
      <c r="AG896" s="44"/>
    </row>
    <row r="897" spans="1:33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5"/>
      <c r="AF897" s="44"/>
      <c r="AG897" s="44"/>
    </row>
    <row r="898" spans="1:33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5"/>
      <c r="AF898" s="44"/>
      <c r="AG898" s="44"/>
    </row>
    <row r="899" spans="1:33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5"/>
      <c r="AF899" s="44"/>
      <c r="AG899" s="44"/>
    </row>
    <row r="900" spans="1:33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5"/>
      <c r="AF900" s="44"/>
      <c r="AG900" s="44"/>
    </row>
    <row r="901" spans="1:33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5"/>
      <c r="AF901" s="44"/>
      <c r="AG901" s="44"/>
    </row>
    <row r="902" spans="1:33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5"/>
      <c r="AF902" s="44"/>
      <c r="AG902" s="44"/>
    </row>
    <row r="903" spans="1:3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5"/>
      <c r="AF903" s="44"/>
      <c r="AG903" s="44"/>
    </row>
    <row r="904" spans="1:33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5"/>
      <c r="AF904" s="44"/>
      <c r="AG904" s="44"/>
    </row>
    <row r="905" spans="1:33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5"/>
      <c r="AF905" s="44"/>
      <c r="AG905" s="44"/>
    </row>
    <row r="906" spans="1:33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5"/>
      <c r="AF906" s="44"/>
      <c r="AG906" s="44"/>
    </row>
    <row r="907" spans="1:33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5"/>
      <c r="AF907" s="44"/>
      <c r="AG907" s="44"/>
    </row>
    <row r="908" spans="1:33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5"/>
      <c r="AF908" s="44"/>
      <c r="AG908" s="44"/>
    </row>
    <row r="909" spans="1:33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5"/>
      <c r="AF909" s="44"/>
      <c r="AG909" s="44"/>
    </row>
    <row r="910" spans="1:33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5"/>
      <c r="AF910" s="44"/>
      <c r="AG910" s="44"/>
    </row>
    <row r="911" spans="1:33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5"/>
      <c r="AF911" s="44"/>
      <c r="AG911" s="44"/>
    </row>
    <row r="912" spans="1:33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5"/>
      <c r="AF912" s="44"/>
      <c r="AG912" s="44"/>
    </row>
    <row r="913" spans="1:3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5"/>
      <c r="AF913" s="44"/>
      <c r="AG913" s="44"/>
    </row>
    <row r="914" spans="1:33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5"/>
      <c r="AF914" s="44"/>
      <c r="AG914" s="44"/>
    </row>
    <row r="915" spans="1:33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5"/>
      <c r="AF915" s="44"/>
      <c r="AG915" s="44"/>
    </row>
    <row r="916" spans="1:33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5"/>
      <c r="AF916" s="44"/>
      <c r="AG916" s="44"/>
    </row>
    <row r="917" spans="1:33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5"/>
      <c r="AF917" s="44"/>
      <c r="AG917" s="44"/>
    </row>
    <row r="918" spans="1:33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5"/>
      <c r="AF918" s="44"/>
      <c r="AG918" s="44"/>
    </row>
    <row r="919" spans="1:33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5"/>
      <c r="AF919" s="44"/>
      <c r="AG919" s="44"/>
    </row>
    <row r="920" spans="1:33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5"/>
      <c r="AF920" s="44"/>
      <c r="AG920" s="44"/>
    </row>
    <row r="921" spans="1:33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5"/>
      <c r="AF921" s="44"/>
      <c r="AG921" s="44"/>
    </row>
    <row r="922" spans="1:33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5"/>
      <c r="AF922" s="44"/>
      <c r="AG922" s="44"/>
    </row>
    <row r="923" spans="1:3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5"/>
      <c r="AF923" s="44"/>
      <c r="AG923" s="44"/>
    </row>
    <row r="924" spans="1:33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5"/>
      <c r="AF924" s="44"/>
      <c r="AG924" s="44"/>
    </row>
    <row r="925" spans="1:33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5"/>
      <c r="AF925" s="44"/>
      <c r="AG925" s="44"/>
    </row>
    <row r="926" spans="1:33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5"/>
      <c r="AF926" s="44"/>
      <c r="AG926" s="44"/>
    </row>
    <row r="927" spans="1:33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5"/>
      <c r="AF927" s="44"/>
      <c r="AG927" s="44"/>
    </row>
    <row r="928" spans="1:33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5"/>
      <c r="AF928" s="44"/>
      <c r="AG928" s="44"/>
    </row>
    <row r="929" spans="1:33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5"/>
      <c r="AF929" s="44"/>
      <c r="AG929" s="44"/>
    </row>
    <row r="930" spans="1:33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5"/>
      <c r="AF930" s="44"/>
      <c r="AG930" s="44"/>
    </row>
    <row r="931" spans="1:33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5"/>
      <c r="AF931" s="44"/>
      <c r="AG931" s="44"/>
    </row>
    <row r="932" spans="1:33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5"/>
      <c r="AF932" s="44"/>
      <c r="AG932" s="44"/>
    </row>
    <row r="933" spans="1: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5"/>
      <c r="AF933" s="44"/>
      <c r="AG933" s="44"/>
    </row>
    <row r="934" spans="1:33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5"/>
      <c r="AF934" s="44"/>
      <c r="AG934" s="44"/>
    </row>
    <row r="935" spans="1:33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5"/>
      <c r="AF935" s="44"/>
      <c r="AG935" s="44"/>
    </row>
    <row r="936" spans="1:33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5"/>
      <c r="AF936" s="44"/>
      <c r="AG936" s="44"/>
    </row>
    <row r="937" spans="1:33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5"/>
      <c r="AF937" s="44"/>
      <c r="AG937" s="44"/>
    </row>
    <row r="938" spans="1:33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5"/>
      <c r="AF938" s="44"/>
      <c r="AG938" s="44"/>
    </row>
    <row r="939" spans="1:33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5"/>
      <c r="AF939" s="44"/>
      <c r="AG939" s="44"/>
    </row>
    <row r="940" spans="1:33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5"/>
      <c r="AF940" s="44"/>
      <c r="AG940" s="44"/>
    </row>
    <row r="941" spans="1:33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5"/>
      <c r="AF941" s="44"/>
      <c r="AG941" s="44"/>
    </row>
    <row r="942" spans="1:33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5"/>
      <c r="AF942" s="44"/>
      <c r="AG942" s="44"/>
    </row>
    <row r="943" spans="1:3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5"/>
      <c r="AF943" s="44"/>
      <c r="AG943" s="44"/>
    </row>
    <row r="944" spans="1:33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5"/>
      <c r="AF944" s="44"/>
      <c r="AG944" s="44"/>
    </row>
    <row r="945" spans="1:33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5"/>
      <c r="AF945" s="44"/>
      <c r="AG945" s="44"/>
    </row>
    <row r="946" spans="1:33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5"/>
      <c r="AF946" s="44"/>
      <c r="AG946" s="44"/>
    </row>
    <row r="947" spans="1:33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5"/>
      <c r="AF947" s="44"/>
      <c r="AG947" s="44"/>
    </row>
    <row r="948" spans="1:33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5"/>
      <c r="AF948" s="44"/>
      <c r="AG948" s="44"/>
    </row>
    <row r="949" spans="1:33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5"/>
      <c r="AF949" s="44"/>
      <c r="AG949" s="44"/>
    </row>
    <row r="950" spans="1:33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5"/>
      <c r="AF950" s="44"/>
      <c r="AG950" s="44"/>
    </row>
    <row r="951" spans="1:33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5"/>
      <c r="AF951" s="44"/>
      <c r="AG951" s="44"/>
    </row>
    <row r="952" spans="1:33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5"/>
      <c r="AF952" s="44"/>
      <c r="AG952" s="44"/>
    </row>
    <row r="953" spans="1:3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5"/>
      <c r="AF953" s="44"/>
      <c r="AG953" s="44"/>
    </row>
    <row r="954" spans="1:33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5"/>
      <c r="AF954" s="44"/>
      <c r="AG954" s="44"/>
    </row>
    <row r="955" spans="1:33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5"/>
      <c r="AF955" s="44"/>
      <c r="AG955" s="44"/>
    </row>
    <row r="956" spans="1:33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5"/>
      <c r="AF956" s="44"/>
      <c r="AG956" s="44"/>
    </row>
    <row r="957" spans="1:33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5"/>
      <c r="AF957" s="44"/>
      <c r="AG957" s="44"/>
    </row>
    <row r="958" spans="1:33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5"/>
      <c r="AF958" s="44"/>
      <c r="AG958" s="44"/>
    </row>
    <row r="959" spans="1:33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5"/>
      <c r="AF959" s="44"/>
      <c r="AG959" s="44"/>
    </row>
    <row r="960" spans="1:33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5"/>
      <c r="AF960" s="44"/>
      <c r="AG960" s="44"/>
    </row>
    <row r="961" spans="1:33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5"/>
      <c r="AF961" s="44"/>
      <c r="AG961" s="44"/>
    </row>
    <row r="962" spans="1:33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5"/>
      <c r="AF962" s="44"/>
      <c r="AG962" s="44"/>
    </row>
    <row r="963" spans="1:3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5"/>
      <c r="AF963" s="44"/>
      <c r="AG963" s="44"/>
    </row>
    <row r="964" spans="1:33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5"/>
      <c r="AF964" s="44"/>
      <c r="AG964" s="44"/>
    </row>
    <row r="965" spans="1:33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5"/>
      <c r="AF965" s="44"/>
      <c r="AG965" s="44"/>
    </row>
    <row r="966" spans="1:33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5"/>
      <c r="AF966" s="44"/>
      <c r="AG966" s="44"/>
    </row>
    <row r="967" spans="1:33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5"/>
      <c r="AF967" s="44"/>
      <c r="AG967" s="44"/>
    </row>
    <row r="968" spans="1:33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5"/>
      <c r="AF968" s="44"/>
      <c r="AG968" s="44"/>
    </row>
    <row r="969" spans="1:33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5"/>
      <c r="AF969" s="44"/>
      <c r="AG969" s="44"/>
    </row>
    <row r="970" spans="1:33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5"/>
      <c r="AF970" s="44"/>
      <c r="AG970" s="44"/>
    </row>
    <row r="971" spans="1:33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5"/>
      <c r="AF971" s="44"/>
      <c r="AG971" s="44"/>
    </row>
    <row r="972" spans="1:33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5"/>
      <c r="AF972" s="44"/>
      <c r="AG972" s="44"/>
    </row>
    <row r="973" spans="1:3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5"/>
      <c r="AF973" s="44"/>
      <c r="AG973" s="44"/>
    </row>
    <row r="974" spans="1:33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5"/>
      <c r="AF974" s="44"/>
      <c r="AG974" s="44"/>
    </row>
    <row r="975" spans="1:33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5"/>
      <c r="AF975" s="44"/>
      <c r="AG975" s="44"/>
    </row>
    <row r="976" spans="1:33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5"/>
      <c r="AF976" s="44"/>
      <c r="AG976" s="44"/>
    </row>
    <row r="977" spans="1:33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5"/>
      <c r="AF977" s="44"/>
      <c r="AG977" s="44"/>
    </row>
    <row r="978" spans="1:33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5"/>
      <c r="AF978" s="44"/>
      <c r="AG978" s="44"/>
    </row>
    <row r="979" spans="1:33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5"/>
      <c r="AF979" s="44"/>
      <c r="AG979" s="44"/>
    </row>
    <row r="980" spans="1:33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5"/>
      <c r="AF980" s="44"/>
      <c r="AG980" s="44"/>
    </row>
    <row r="981" spans="1:33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5"/>
      <c r="AF981" s="44"/>
      <c r="AG981" s="44"/>
    </row>
    <row r="982" spans="1:33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5"/>
      <c r="AF982" s="44"/>
      <c r="AG982" s="44"/>
    </row>
    <row r="983" spans="1:3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5"/>
      <c r="AF983" s="44"/>
      <c r="AG983" s="44"/>
    </row>
    <row r="984" spans="1:33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5"/>
      <c r="AF984" s="44"/>
      <c r="AG984" s="44"/>
    </row>
    <row r="985" spans="1:33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5"/>
      <c r="AF985" s="44"/>
      <c r="AG985" s="44"/>
    </row>
    <row r="986" spans="1:33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5"/>
      <c r="AF986" s="44"/>
      <c r="AG986" s="44"/>
    </row>
    <row r="987" spans="1:33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5"/>
      <c r="AF987" s="44"/>
      <c r="AG987" s="44"/>
    </row>
    <row r="988" spans="1:33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5"/>
      <c r="AF988" s="44"/>
      <c r="AG988" s="44"/>
    </row>
    <row r="989" spans="1:33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5"/>
      <c r="AF989" s="44"/>
      <c r="AG989" s="44"/>
    </row>
    <row r="990" spans="1:33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5"/>
      <c r="AF990" s="44"/>
      <c r="AG990" s="44"/>
    </row>
    <row r="991" spans="1:33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5"/>
      <c r="AF991" s="44"/>
      <c r="AG991" s="44"/>
    </row>
    <row r="992" spans="1:33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5"/>
      <c r="AF992" s="44"/>
      <c r="AG992" s="44"/>
    </row>
    <row r="993" spans="1:3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5"/>
      <c r="AF993" s="44"/>
      <c r="AG993" s="44"/>
    </row>
    <row r="994" spans="1:33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5"/>
      <c r="AF994" s="44"/>
      <c r="AG994" s="44"/>
    </row>
    <row r="995" spans="1:33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5"/>
      <c r="AF995" s="44"/>
      <c r="AG995" s="44"/>
    </row>
    <row r="996" spans="1:33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5"/>
      <c r="AF996" s="44"/>
      <c r="AG996" s="44"/>
    </row>
    <row r="997" spans="1:33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5"/>
      <c r="AF997" s="44"/>
      <c r="AG997" s="44"/>
    </row>
  </sheetData>
  <sheetProtection sheet="1"/>
  <mergeCells count="47">
    <mergeCell ref="AG1:AG9"/>
    <mergeCell ref="D2:R2"/>
    <mergeCell ref="T2:X2"/>
    <mergeCell ref="Z2:AD2"/>
    <mergeCell ref="S8:S9"/>
    <mergeCell ref="C1:R1"/>
    <mergeCell ref="S1:X1"/>
    <mergeCell ref="Y1:AD1"/>
    <mergeCell ref="AE1:AE9"/>
    <mergeCell ref="AF1:AF9"/>
    <mergeCell ref="Y8:Y9"/>
    <mergeCell ref="AA8:AA9"/>
    <mergeCell ref="AB8:AB9"/>
    <mergeCell ref="AC8:AC9"/>
    <mergeCell ref="AD8:AD9"/>
    <mergeCell ref="A3:B3"/>
    <mergeCell ref="D3:R3"/>
    <mergeCell ref="T3:X3"/>
    <mergeCell ref="Z3:AD3"/>
    <mergeCell ref="A4:B4"/>
    <mergeCell ref="D4:R4"/>
    <mergeCell ref="T4:X4"/>
    <mergeCell ref="Z4:AD4"/>
    <mergeCell ref="A5:B5"/>
    <mergeCell ref="D5:R5"/>
    <mergeCell ref="T5:X5"/>
    <mergeCell ref="Z5:AD5"/>
    <mergeCell ref="A6:B6"/>
    <mergeCell ref="D6:R6"/>
    <mergeCell ref="T6:X6"/>
    <mergeCell ref="Z6:AD6"/>
    <mergeCell ref="A7:B8"/>
    <mergeCell ref="D7:R7"/>
    <mergeCell ref="T7:X7"/>
    <mergeCell ref="Z7:AD7"/>
    <mergeCell ref="C8:D8"/>
    <mergeCell ref="E8:F8"/>
    <mergeCell ref="G8:H8"/>
    <mergeCell ref="I8:J8"/>
    <mergeCell ref="K8:L8"/>
    <mergeCell ref="R8:R9"/>
    <mergeCell ref="T8:T9"/>
    <mergeCell ref="U8:U9"/>
    <mergeCell ref="V8:V9"/>
    <mergeCell ref="W8:W9"/>
    <mergeCell ref="X8:X9"/>
    <mergeCell ref="Z8:Z9"/>
  </mergeCells>
  <conditionalFormatting sqref="R10:R49">
    <cfRule type="containsErrors" dxfId="17" priority="9">
      <formula>ISERROR(R10)</formula>
    </cfRule>
  </conditionalFormatting>
  <conditionalFormatting sqref="X8:X49">
    <cfRule type="containsErrors" dxfId="16" priority="8">
      <formula>ISERROR(X8)</formula>
    </cfRule>
  </conditionalFormatting>
  <conditionalFormatting sqref="AD8:AD49">
    <cfRule type="containsErrors" dxfId="15" priority="7">
      <formula>ISERROR(AD8)</formula>
    </cfRule>
  </conditionalFormatting>
  <conditionalFormatting sqref="AE1:AE49">
    <cfRule type="cellIs" dxfId="14" priority="5" operator="lessThan">
      <formula>3</formula>
    </cfRule>
    <cfRule type="containsErrors" dxfId="13" priority="6">
      <formula>ISERROR(AE1)</formula>
    </cfRule>
  </conditionalFormatting>
  <conditionalFormatting sqref="A10:A49">
    <cfRule type="expression" dxfId="12" priority="4">
      <formula>AG10&lt;3</formula>
    </cfRule>
  </conditionalFormatting>
  <conditionalFormatting sqref="AG10:AG49">
    <cfRule type="containsErrors" dxfId="11" priority="2">
      <formula>ISERROR(AG10)</formula>
    </cfRule>
    <cfRule type="cellIs" dxfId="10" priority="3" operator="lessThan">
      <formula>3</formula>
    </cfRule>
  </conditionalFormatting>
  <conditionalFormatting sqref="B10:B49">
    <cfRule type="cellIs" dxfId="9" priority="1" operator="equal">
      <formula>0</formula>
    </cfRule>
  </conditionalFormatting>
  <dataValidations count="5">
    <dataValidation allowBlank="1" showInputMessage="1" showErrorMessage="1" prompt="IR A INICIO" sqref="A7:B8"/>
    <dataValidation type="decimal" allowBlank="1" showInputMessage="1" showErrorMessage="1" errorTitle="VALOR INCORRECTO" error="Recuerde que la calificacion debe estar entre 1 y 5" sqref="C10:L49 S10:V49 Y10:AC49 AF10:AF49">
      <formula1>1</formula1>
      <formula2>5</formula2>
    </dataValidation>
    <dataValidation allowBlank="1" showInputMessage="1" showErrorMessage="1" promptTitle="N.P." prompt="NOTA PARCIAL" sqref="R8:R9 X8:X9"/>
    <dataValidation allowBlank="1" showInputMessage="1" showErrorMessage="1" promptTitle="DESCRIPCIÓN DE ACTIVIADES" prompt="Para cada nota o calificación, describa la actividad realizada;Taller, evaluación, exposición, mesa redonda etc. por ejemplo: Taller grupal, suma y resta de números enteros." sqref="T3:AH3 D3:R3"/>
    <dataValidation type="decimal" allowBlank="1" showInputMessage="1" showErrorMessage="1" errorTitle="VALOR INCORRECTO" error="Recuerde que la calificacion debe estar entre 1 y 5" prompt="Entrada incorrecta" sqref="W10:W49">
      <formula1>1</formula1>
      <formula2>5</formula2>
    </dataValidation>
  </dataValidations>
  <hyperlinks>
    <hyperlink ref="A7:B8" location="INICIO!A1" tooltip="IR A MENU DE INICIO" display="Periodo 01"/>
  </hyperlinks>
  <pageMargins left="0.27559055118110237" right="0.23622047244094491" top="0.57999999999999996" bottom="0.55000000000000004" header="0" footer="0"/>
  <pageSetup paperSize="120" scale="6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5:Y999"/>
  <sheetViews>
    <sheetView showGridLines="0" workbookViewId="0">
      <pane ySplit="8" topLeftCell="A31" activePane="bottomLeft" state="frozen"/>
      <selection pane="bottomLeft" activeCell="E14" sqref="E14"/>
    </sheetView>
  </sheetViews>
  <sheetFormatPr baseColWidth="10" defaultColWidth="14.42578125" defaultRowHeight="15" customHeight="1"/>
  <cols>
    <col min="1" max="1" width="6.5703125" customWidth="1"/>
    <col min="2" max="2" width="38.85546875" customWidth="1"/>
    <col min="3" max="6" width="10.7109375" style="79" customWidth="1"/>
    <col min="7" max="7" width="10.42578125" style="79" customWidth="1"/>
    <col min="8" max="8" width="10.7109375" style="79" customWidth="1"/>
    <col min="9" max="12" width="10.28515625" hidden="1" customWidth="1"/>
    <col min="13" max="13" width="8.42578125" hidden="1" customWidth="1"/>
    <col min="14" max="15" width="10.28515625" hidden="1" customWidth="1"/>
    <col min="16" max="17" width="0.140625" hidden="1" customWidth="1"/>
    <col min="18" max="18" width="11.85546875" hidden="1" customWidth="1"/>
    <col min="19" max="25" width="11.42578125" customWidth="1"/>
  </cols>
  <sheetData>
    <row r="5" spans="1:25" ht="21.75" thickBot="1">
      <c r="A5" s="206" t="s">
        <v>57</v>
      </c>
      <c r="B5" s="206"/>
      <c r="C5" s="206"/>
      <c r="D5" s="206"/>
      <c r="E5" s="206"/>
      <c r="F5" s="206"/>
      <c r="G5" s="206"/>
      <c r="H5" s="20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9" customHeight="1">
      <c r="A6" s="207" t="s">
        <v>53</v>
      </c>
      <c r="B6" s="210" t="s">
        <v>4</v>
      </c>
      <c r="C6" s="213" t="s">
        <v>54</v>
      </c>
      <c r="D6" s="213" t="s">
        <v>55</v>
      </c>
      <c r="E6" s="213" t="s">
        <v>56</v>
      </c>
      <c r="F6" s="205" t="s">
        <v>27</v>
      </c>
      <c r="G6" s="197" t="s">
        <v>28</v>
      </c>
      <c r="H6" s="200" t="s">
        <v>29</v>
      </c>
      <c r="I6" s="203" t="s">
        <v>30</v>
      </c>
      <c r="J6" s="194" t="s">
        <v>24</v>
      </c>
      <c r="K6" s="194" t="s">
        <v>25</v>
      </c>
      <c r="L6" s="194" t="s">
        <v>26</v>
      </c>
      <c r="M6" s="194" t="s">
        <v>31</v>
      </c>
      <c r="N6" s="194" t="s">
        <v>30</v>
      </c>
      <c r="O6" s="194" t="s">
        <v>24</v>
      </c>
      <c r="P6" s="194" t="s">
        <v>25</v>
      </c>
      <c r="Q6" s="194" t="s">
        <v>26</v>
      </c>
      <c r="R6" s="194" t="s">
        <v>31</v>
      </c>
      <c r="S6" s="4"/>
      <c r="T6" s="4"/>
      <c r="U6" s="4"/>
      <c r="V6" s="4"/>
      <c r="W6" s="4"/>
      <c r="X6" s="4"/>
      <c r="Y6" s="4"/>
    </row>
    <row r="7" spans="1:25">
      <c r="A7" s="208"/>
      <c r="B7" s="211"/>
      <c r="C7" s="198"/>
      <c r="D7" s="198"/>
      <c r="E7" s="198"/>
      <c r="F7" s="198"/>
      <c r="G7" s="198"/>
      <c r="H7" s="201"/>
      <c r="I7" s="204"/>
      <c r="J7" s="195"/>
      <c r="K7" s="195"/>
      <c r="L7" s="195"/>
      <c r="M7" s="195"/>
      <c r="N7" s="195"/>
      <c r="O7" s="195"/>
      <c r="P7" s="195"/>
      <c r="Q7" s="195"/>
      <c r="R7" s="195"/>
      <c r="S7" s="4"/>
      <c r="T7" s="4"/>
      <c r="U7" s="4"/>
      <c r="V7" s="4"/>
      <c r="W7" s="4"/>
      <c r="X7" s="4"/>
      <c r="Y7" s="4"/>
    </row>
    <row r="8" spans="1:25" ht="9.75" customHeight="1" thickBot="1">
      <c r="A8" s="209"/>
      <c r="B8" s="212"/>
      <c r="C8" s="199"/>
      <c r="D8" s="199"/>
      <c r="E8" s="199"/>
      <c r="F8" s="199"/>
      <c r="G8" s="199"/>
      <c r="H8" s="202"/>
      <c r="I8" s="128"/>
      <c r="J8" s="196"/>
      <c r="K8" s="196"/>
      <c r="L8" s="196"/>
      <c r="M8" s="196"/>
      <c r="N8" s="196"/>
      <c r="O8" s="196"/>
      <c r="P8" s="196"/>
      <c r="Q8" s="196"/>
      <c r="R8" s="196"/>
      <c r="S8" s="4"/>
      <c r="T8" s="4"/>
      <c r="U8" s="4"/>
      <c r="V8" s="4"/>
      <c r="W8" s="4"/>
      <c r="X8" s="4"/>
      <c r="Y8" s="4"/>
    </row>
    <row r="9" spans="1:25" ht="15.75">
      <c r="A9" s="77">
        <v>1</v>
      </c>
      <c r="B9" s="78">
        <f>+'PERIODO 03'!B10</f>
        <v>0</v>
      </c>
      <c r="C9" s="81" t="e">
        <f>+'PERIODO 01'!AG10</f>
        <v>#DIV/0!</v>
      </c>
      <c r="D9" s="81" t="e">
        <f>+'PERIODO 02'!AG10</f>
        <v>#DIV/0!</v>
      </c>
      <c r="E9" s="81" t="e">
        <f>+'PERIODO 03'!AG10</f>
        <v>#DIV/0!</v>
      </c>
      <c r="F9" s="81" t="e">
        <f>(C9*34%)+(D9*33%)+(E9*33%)</f>
        <v>#DIV/0!</v>
      </c>
      <c r="G9" s="83"/>
      <c r="H9" s="81" t="e">
        <f t="shared" ref="H9:H48" si="0">IF(F9&gt;G9,F9,G9)</f>
        <v>#DIV/0!</v>
      </c>
      <c r="I9" s="4" t="e">
        <f t="shared" ref="I9:I48" si="1">IF(C9&lt;3,"BAJO",IF(C9&lt;4,"BASICO",IF(C9&lt;4.5,"ALTO","SUPERIOR")))</f>
        <v>#DIV/0!</v>
      </c>
      <c r="J9" s="4" t="e">
        <f t="shared" ref="J9:J48" si="2">IF(D9&lt;3,"BAJO",IF(D9&lt;4,"BASICO",IF(D9&lt;4.5,"ALTO","SUPERIOR")))</f>
        <v>#DIV/0!</v>
      </c>
      <c r="K9" s="4" t="e">
        <f t="shared" ref="K9:K48" si="3">IF(E9&lt;3,"BAJO",IF(E9&lt;4,"BASICO",IF(E9&lt;4.5,"ALTO","SUPERIOR")))</f>
        <v>#DIV/0!</v>
      </c>
      <c r="L9" s="4" t="e">
        <f>IF(#REF!&lt;3,"BAJO",IF(#REF!&lt;4,"BASICO",IF(#REF!&lt;4.5,"ALTO","SUPERIOR")))</f>
        <v>#REF!</v>
      </c>
      <c r="M9" s="4" t="e">
        <f t="shared" ref="M9:M48" si="4">IF(H9&lt;3,"BAJO",IF(H9&lt;4,"BASICO",IF(H9&lt;4.5,"ALTO","SUPERIOR")))</f>
        <v>#DIV/0!</v>
      </c>
      <c r="N9" s="4" t="s">
        <v>32</v>
      </c>
      <c r="O9" s="4" t="s">
        <v>32</v>
      </c>
      <c r="P9" s="4" t="s">
        <v>32</v>
      </c>
      <c r="Q9" s="4" t="s">
        <v>32</v>
      </c>
      <c r="R9" s="4" t="s">
        <v>32</v>
      </c>
      <c r="S9" s="4"/>
      <c r="T9" s="4"/>
      <c r="U9" s="4"/>
      <c r="V9" s="4"/>
      <c r="W9" s="4"/>
      <c r="X9" s="4"/>
      <c r="Y9" s="4"/>
    </row>
    <row r="10" spans="1:25" ht="15.75">
      <c r="A10" s="1">
        <v>2</v>
      </c>
      <c r="B10" s="2">
        <f>+'PERIODO 03'!B11</f>
        <v>0</v>
      </c>
      <c r="C10" s="82" t="e">
        <f>+'PERIODO 01'!AG11</f>
        <v>#DIV/0!</v>
      </c>
      <c r="D10" s="82" t="e">
        <f>+'PERIODO 02'!AG11</f>
        <v>#DIV/0!</v>
      </c>
      <c r="E10" s="81" t="e">
        <f>+'PERIODO 03'!AG11</f>
        <v>#DIV/0!</v>
      </c>
      <c r="F10" s="81" t="e">
        <f t="shared" ref="F10:F48" si="5">(C10*34%)+(D10*33%)+(E10*33%)</f>
        <v>#DIV/0!</v>
      </c>
      <c r="G10" s="84"/>
      <c r="H10" s="82" t="e">
        <f t="shared" si="0"/>
        <v>#DIV/0!</v>
      </c>
      <c r="I10" s="4" t="e">
        <f t="shared" si="1"/>
        <v>#DIV/0!</v>
      </c>
      <c r="J10" s="4" t="e">
        <f t="shared" si="2"/>
        <v>#DIV/0!</v>
      </c>
      <c r="K10" s="4" t="e">
        <f t="shared" si="3"/>
        <v>#DIV/0!</v>
      </c>
      <c r="L10" s="4" t="e">
        <f>IF(#REF!&lt;3,"BAJO",IF(#REF!&lt;4,"BASICO",IF(#REF!&lt;4.5,"ALTO","SUPERIOR")))</f>
        <v>#REF!</v>
      </c>
      <c r="M10" s="4" t="e">
        <f t="shared" si="4"/>
        <v>#DIV/0!</v>
      </c>
      <c r="N10" s="4">
        <f>COUNTIF(I9:I48,"BAJO")</f>
        <v>0</v>
      </c>
      <c r="O10" s="4">
        <f>COUNTIF(J9:J48,"BAJO")</f>
        <v>0</v>
      </c>
      <c r="P10" s="4">
        <f>COUNTIF(K9:K48,"BAJO")</f>
        <v>0</v>
      </c>
      <c r="Q10" s="4">
        <f>COUNTIF(L9:L48,"BAJO")</f>
        <v>0</v>
      </c>
      <c r="R10" s="4">
        <f>COUNTIF(M9:M48,"BAJO")</f>
        <v>0</v>
      </c>
      <c r="S10" s="4"/>
      <c r="T10" s="4"/>
      <c r="U10" s="4"/>
      <c r="V10" s="4"/>
      <c r="W10" s="4"/>
      <c r="X10" s="4"/>
      <c r="Y10" s="4"/>
    </row>
    <row r="11" spans="1:25" ht="15.75">
      <c r="A11" s="1">
        <v>3</v>
      </c>
      <c r="B11" s="2">
        <f>+'PERIODO 03'!B12</f>
        <v>0</v>
      </c>
      <c r="C11" s="82" t="e">
        <f>+'PERIODO 01'!AG12</f>
        <v>#DIV/0!</v>
      </c>
      <c r="D11" s="82" t="e">
        <f>+'PERIODO 02'!AG12</f>
        <v>#DIV/0!</v>
      </c>
      <c r="E11" s="81" t="e">
        <f>+'PERIODO 03'!AG12</f>
        <v>#DIV/0!</v>
      </c>
      <c r="F11" s="81" t="e">
        <f t="shared" si="5"/>
        <v>#DIV/0!</v>
      </c>
      <c r="G11" s="84"/>
      <c r="H11" s="82" t="e">
        <f t="shared" si="0"/>
        <v>#DIV/0!</v>
      </c>
      <c r="I11" s="4" t="e">
        <f t="shared" si="1"/>
        <v>#DIV/0!</v>
      </c>
      <c r="J11" s="4" t="e">
        <f t="shared" si="2"/>
        <v>#DIV/0!</v>
      </c>
      <c r="K11" s="4" t="e">
        <f t="shared" si="3"/>
        <v>#DIV/0!</v>
      </c>
      <c r="L11" s="4" t="e">
        <f>IF(#REF!&lt;3,"BAJO",IF(#REF!&lt;4,"BASICO",IF(#REF!&lt;4.5,"ALTO","SUPERIOR")))</f>
        <v>#REF!</v>
      </c>
      <c r="M11" s="4" t="e">
        <f t="shared" si="4"/>
        <v>#DIV/0!</v>
      </c>
      <c r="N11" s="4" t="s">
        <v>33</v>
      </c>
      <c r="O11" s="4" t="s">
        <v>33</v>
      </c>
      <c r="P11" s="4" t="s">
        <v>33</v>
      </c>
      <c r="Q11" s="4" t="s">
        <v>33</v>
      </c>
      <c r="R11" s="4" t="s">
        <v>33</v>
      </c>
      <c r="S11" s="4"/>
      <c r="T11" s="4"/>
      <c r="U11" s="4"/>
      <c r="V11" s="4"/>
      <c r="W11" s="4"/>
      <c r="X11" s="4"/>
      <c r="Y11" s="4"/>
    </row>
    <row r="12" spans="1:25" ht="15.75">
      <c r="A12" s="1">
        <v>4</v>
      </c>
      <c r="B12" s="2">
        <f>+'PERIODO 03'!B13</f>
        <v>0</v>
      </c>
      <c r="C12" s="82" t="e">
        <f>+'PERIODO 01'!AG13</f>
        <v>#DIV/0!</v>
      </c>
      <c r="D12" s="82" t="e">
        <f>+'PERIODO 02'!AG13</f>
        <v>#DIV/0!</v>
      </c>
      <c r="E12" s="81" t="e">
        <f>+'PERIODO 03'!AG13</f>
        <v>#DIV/0!</v>
      </c>
      <c r="F12" s="81" t="e">
        <f t="shared" si="5"/>
        <v>#DIV/0!</v>
      </c>
      <c r="G12" s="84"/>
      <c r="H12" s="82" t="e">
        <f t="shared" si="0"/>
        <v>#DIV/0!</v>
      </c>
      <c r="I12" s="4" t="e">
        <f t="shared" si="1"/>
        <v>#DIV/0!</v>
      </c>
      <c r="J12" s="4" t="e">
        <f t="shared" si="2"/>
        <v>#DIV/0!</v>
      </c>
      <c r="K12" s="4" t="e">
        <f t="shared" si="3"/>
        <v>#DIV/0!</v>
      </c>
      <c r="L12" s="4" t="e">
        <f>IF(#REF!&lt;3,"BAJO",IF(#REF!&lt;4,"BASICO",IF(#REF!&lt;4.5,"ALTO","SUPERIOR")))</f>
        <v>#REF!</v>
      </c>
      <c r="M12" s="4" t="e">
        <f t="shared" si="4"/>
        <v>#DIV/0!</v>
      </c>
      <c r="N12" s="4">
        <f>COUNTIF(I9:I48,"BASICO")</f>
        <v>0</v>
      </c>
      <c r="O12" s="4">
        <f>COUNTIF(J9:J48,"BASICO")</f>
        <v>0</v>
      </c>
      <c r="P12" s="4">
        <f>COUNTIF(K9:K48,"BASICO")</f>
        <v>0</v>
      </c>
      <c r="Q12" s="4">
        <f>COUNTIF(L9:L48,"BASICO")</f>
        <v>0</v>
      </c>
      <c r="R12" s="4">
        <f>COUNTIF(M9:M48,"BASICO")</f>
        <v>0</v>
      </c>
      <c r="S12" s="4"/>
      <c r="T12" s="4"/>
      <c r="U12" s="4"/>
      <c r="V12" s="4"/>
      <c r="W12" s="4"/>
      <c r="X12" s="4"/>
      <c r="Y12" s="4"/>
    </row>
    <row r="13" spans="1:25" ht="15.75">
      <c r="A13" s="1">
        <v>5</v>
      </c>
      <c r="B13" s="2">
        <f>+'PERIODO 03'!B14</f>
        <v>0</v>
      </c>
      <c r="C13" s="82" t="e">
        <f>+'PERIODO 01'!AG14</f>
        <v>#DIV/0!</v>
      </c>
      <c r="D13" s="82" t="e">
        <f>+'PERIODO 02'!AG14</f>
        <v>#DIV/0!</v>
      </c>
      <c r="E13" s="81" t="e">
        <f>+'PERIODO 03'!AG14</f>
        <v>#DIV/0!</v>
      </c>
      <c r="F13" s="81" t="e">
        <f t="shared" si="5"/>
        <v>#DIV/0!</v>
      </c>
      <c r="G13" s="84"/>
      <c r="H13" s="82" t="e">
        <f t="shared" si="0"/>
        <v>#DIV/0!</v>
      </c>
      <c r="I13" s="4" t="e">
        <f t="shared" si="1"/>
        <v>#DIV/0!</v>
      </c>
      <c r="J13" s="4" t="e">
        <f t="shared" si="2"/>
        <v>#DIV/0!</v>
      </c>
      <c r="K13" s="4" t="e">
        <f t="shared" si="3"/>
        <v>#DIV/0!</v>
      </c>
      <c r="L13" s="4" t="e">
        <f>IF(#REF!&lt;3,"BAJO",IF(#REF!&lt;4,"BASICO",IF(#REF!&lt;4.5,"ALTO","SUPERIOR")))</f>
        <v>#REF!</v>
      </c>
      <c r="M13" s="4" t="e">
        <f t="shared" si="4"/>
        <v>#DIV/0!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  <c r="S13" s="4"/>
      <c r="T13" s="4"/>
      <c r="U13" s="4"/>
      <c r="V13" s="4"/>
      <c r="W13" s="4"/>
      <c r="X13" s="4"/>
      <c r="Y13" s="4"/>
    </row>
    <row r="14" spans="1:25" ht="15.75">
      <c r="A14" s="1">
        <v>6</v>
      </c>
      <c r="B14" s="2">
        <f>+'PERIODO 03'!B15</f>
        <v>0</v>
      </c>
      <c r="C14" s="82" t="e">
        <f>+'PERIODO 01'!AG15</f>
        <v>#DIV/0!</v>
      </c>
      <c r="D14" s="82" t="e">
        <f>+'PERIODO 02'!AG15</f>
        <v>#DIV/0!</v>
      </c>
      <c r="E14" s="81" t="e">
        <f>+'PERIODO 03'!AG15</f>
        <v>#DIV/0!</v>
      </c>
      <c r="F14" s="81" t="e">
        <f t="shared" si="5"/>
        <v>#DIV/0!</v>
      </c>
      <c r="G14" s="84"/>
      <c r="H14" s="82" t="e">
        <f t="shared" si="0"/>
        <v>#DIV/0!</v>
      </c>
      <c r="I14" s="4" t="e">
        <f t="shared" si="1"/>
        <v>#DIV/0!</v>
      </c>
      <c r="J14" s="4" t="e">
        <f t="shared" si="2"/>
        <v>#DIV/0!</v>
      </c>
      <c r="K14" s="4" t="e">
        <f t="shared" si="3"/>
        <v>#DIV/0!</v>
      </c>
      <c r="L14" s="4" t="e">
        <f>IF(#REF!&lt;3,"BAJO",IF(#REF!&lt;4,"BASICO",IF(#REF!&lt;4.5,"ALTO","SUPERIOR")))</f>
        <v>#REF!</v>
      </c>
      <c r="M14" s="4" t="e">
        <f t="shared" si="4"/>
        <v>#DIV/0!</v>
      </c>
      <c r="N14" s="4">
        <f>COUNTIF(I9:I48,"ALTO")</f>
        <v>0</v>
      </c>
      <c r="O14" s="4">
        <f>COUNTIF(J9:J48,"ALTO")</f>
        <v>0</v>
      </c>
      <c r="P14" s="4">
        <f>COUNTIF(K9:K48,"ALTO")</f>
        <v>0</v>
      </c>
      <c r="Q14" s="4">
        <f>COUNTIF(L9:L48,"ALTO")</f>
        <v>0</v>
      </c>
      <c r="R14" s="4">
        <f>COUNTIF(M9:M48,"ALTO")</f>
        <v>0</v>
      </c>
      <c r="S14" s="4"/>
      <c r="T14" s="4"/>
      <c r="U14" s="4"/>
      <c r="V14" s="4"/>
      <c r="W14" s="4"/>
      <c r="X14" s="4"/>
      <c r="Y14" s="4"/>
    </row>
    <row r="15" spans="1:25" ht="15.75">
      <c r="A15" s="1">
        <v>7</v>
      </c>
      <c r="B15" s="2">
        <f>+'PERIODO 03'!B16</f>
        <v>0</v>
      </c>
      <c r="C15" s="82" t="e">
        <f>+'PERIODO 01'!AG16</f>
        <v>#DIV/0!</v>
      </c>
      <c r="D15" s="82" t="e">
        <f>+'PERIODO 02'!AG16</f>
        <v>#DIV/0!</v>
      </c>
      <c r="E15" s="81" t="e">
        <f>+'PERIODO 03'!AG16</f>
        <v>#DIV/0!</v>
      </c>
      <c r="F15" s="81" t="e">
        <f t="shared" si="5"/>
        <v>#DIV/0!</v>
      </c>
      <c r="G15" s="84"/>
      <c r="H15" s="82" t="e">
        <f t="shared" si="0"/>
        <v>#DIV/0!</v>
      </c>
      <c r="I15" s="4" t="e">
        <f t="shared" si="1"/>
        <v>#DIV/0!</v>
      </c>
      <c r="J15" s="4" t="e">
        <f t="shared" si="2"/>
        <v>#DIV/0!</v>
      </c>
      <c r="K15" s="4" t="e">
        <f t="shared" si="3"/>
        <v>#DIV/0!</v>
      </c>
      <c r="L15" s="4" t="e">
        <f>IF(#REF!&lt;3,"BAJO",IF(#REF!&lt;4,"BASICO",IF(#REF!&lt;4.5,"ALTO","SUPERIOR")))</f>
        <v>#REF!</v>
      </c>
      <c r="M15" s="4" t="e">
        <f t="shared" si="4"/>
        <v>#DIV/0!</v>
      </c>
      <c r="N15" s="4" t="s">
        <v>35</v>
      </c>
      <c r="O15" s="4" t="s">
        <v>35</v>
      </c>
      <c r="P15" s="4" t="s">
        <v>35</v>
      </c>
      <c r="Q15" s="4" t="s">
        <v>35</v>
      </c>
      <c r="R15" s="4" t="s">
        <v>35</v>
      </c>
      <c r="S15" s="4"/>
      <c r="T15" s="4"/>
      <c r="U15" s="4"/>
      <c r="V15" s="4"/>
      <c r="W15" s="4"/>
      <c r="X15" s="4"/>
      <c r="Y15" s="4"/>
    </row>
    <row r="16" spans="1:25" ht="15.75">
      <c r="A16" s="1">
        <v>8</v>
      </c>
      <c r="B16" s="2">
        <f>+'PERIODO 03'!B17</f>
        <v>0</v>
      </c>
      <c r="C16" s="82" t="e">
        <f>+'PERIODO 01'!AG17</f>
        <v>#DIV/0!</v>
      </c>
      <c r="D16" s="82" t="e">
        <f>+'PERIODO 02'!AG17</f>
        <v>#DIV/0!</v>
      </c>
      <c r="E16" s="81" t="e">
        <f>+'PERIODO 03'!AG17</f>
        <v>#DIV/0!</v>
      </c>
      <c r="F16" s="81" t="e">
        <f t="shared" si="5"/>
        <v>#DIV/0!</v>
      </c>
      <c r="G16" s="84"/>
      <c r="H16" s="82" t="e">
        <f t="shared" si="0"/>
        <v>#DIV/0!</v>
      </c>
      <c r="I16" s="4" t="e">
        <f t="shared" si="1"/>
        <v>#DIV/0!</v>
      </c>
      <c r="J16" s="4" t="e">
        <f t="shared" si="2"/>
        <v>#DIV/0!</v>
      </c>
      <c r="K16" s="4" t="e">
        <f t="shared" si="3"/>
        <v>#DIV/0!</v>
      </c>
      <c r="L16" s="4" t="e">
        <f>IF(#REF!&lt;3,"BAJO",IF(#REF!&lt;4,"BASICO",IF(#REF!&lt;4.5,"ALTO","SUPERIOR")))</f>
        <v>#REF!</v>
      </c>
      <c r="M16" s="4" t="e">
        <f t="shared" si="4"/>
        <v>#DIV/0!</v>
      </c>
      <c r="N16" s="4">
        <f>COUNTIF(I9:I48,"SUPERIOR")</f>
        <v>0</v>
      </c>
      <c r="O16" s="4">
        <f>COUNTIF(J9:J48,"SUPERIOR")</f>
        <v>0</v>
      </c>
      <c r="P16" s="4">
        <f>COUNTIF(K9:K48,"SUPERIOR")</f>
        <v>0</v>
      </c>
      <c r="Q16" s="4">
        <f>COUNTIF(L9:L48,"SUPERIOR")</f>
        <v>0</v>
      </c>
      <c r="R16" s="4">
        <f>COUNTIF(M9:M48,"SUPERIOR")</f>
        <v>0</v>
      </c>
      <c r="S16" s="4"/>
      <c r="T16" s="4"/>
      <c r="U16" s="4"/>
      <c r="V16" s="4"/>
      <c r="W16" s="4"/>
      <c r="X16" s="4"/>
      <c r="Y16" s="4"/>
    </row>
    <row r="17" spans="1:25" ht="15.75">
      <c r="A17" s="1">
        <v>9</v>
      </c>
      <c r="B17" s="2">
        <f>+'PERIODO 03'!B18</f>
        <v>0</v>
      </c>
      <c r="C17" s="82" t="e">
        <f>+'PERIODO 01'!AG18</f>
        <v>#DIV/0!</v>
      </c>
      <c r="D17" s="82" t="e">
        <f>+'PERIODO 02'!AG18</f>
        <v>#DIV/0!</v>
      </c>
      <c r="E17" s="81" t="e">
        <f>+'PERIODO 03'!AG18</f>
        <v>#DIV/0!</v>
      </c>
      <c r="F17" s="81" t="e">
        <f t="shared" si="5"/>
        <v>#DIV/0!</v>
      </c>
      <c r="G17" s="84"/>
      <c r="H17" s="82" t="e">
        <f t="shared" si="0"/>
        <v>#DIV/0!</v>
      </c>
      <c r="I17" s="4" t="e">
        <f t="shared" si="1"/>
        <v>#DIV/0!</v>
      </c>
      <c r="J17" s="4" t="e">
        <f t="shared" si="2"/>
        <v>#DIV/0!</v>
      </c>
      <c r="K17" s="4" t="e">
        <f t="shared" si="3"/>
        <v>#DIV/0!</v>
      </c>
      <c r="L17" s="4" t="e">
        <f>IF(#REF!&lt;3,"BAJO",IF(#REF!&lt;4,"BASICO",IF(#REF!&lt;4.5,"ALTO","SUPERIOR")))</f>
        <v>#REF!</v>
      </c>
      <c r="M17" s="4" t="e">
        <f t="shared" si="4"/>
        <v>#DIV/0!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.75">
      <c r="A18" s="1">
        <v>10</v>
      </c>
      <c r="B18" s="2">
        <f>+'PERIODO 03'!B19</f>
        <v>0</v>
      </c>
      <c r="C18" s="82" t="e">
        <f>+'PERIODO 01'!AG19</f>
        <v>#DIV/0!</v>
      </c>
      <c r="D18" s="82" t="e">
        <f>+'PERIODO 02'!AG19</f>
        <v>#DIV/0!</v>
      </c>
      <c r="E18" s="81" t="e">
        <f>+'PERIODO 03'!AG19</f>
        <v>#DIV/0!</v>
      </c>
      <c r="F18" s="81" t="e">
        <f t="shared" si="5"/>
        <v>#DIV/0!</v>
      </c>
      <c r="G18" s="84"/>
      <c r="H18" s="82" t="e">
        <f t="shared" si="0"/>
        <v>#DIV/0!</v>
      </c>
      <c r="I18" s="4" t="e">
        <f t="shared" si="1"/>
        <v>#DIV/0!</v>
      </c>
      <c r="J18" s="4" t="e">
        <f t="shared" si="2"/>
        <v>#DIV/0!</v>
      </c>
      <c r="K18" s="4" t="e">
        <f t="shared" si="3"/>
        <v>#DIV/0!</v>
      </c>
      <c r="L18" s="4" t="e">
        <f>IF(#REF!&lt;3,"BAJO",IF(#REF!&lt;4,"BASICO",IF(#REF!&lt;4.5,"ALTO","SUPERIOR")))</f>
        <v>#REF!</v>
      </c>
      <c r="M18" s="4" t="e">
        <f t="shared" si="4"/>
        <v>#DIV/0!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>
      <c r="A19" s="1">
        <v>11</v>
      </c>
      <c r="B19" s="2">
        <f>+'PERIODO 03'!B20</f>
        <v>0</v>
      </c>
      <c r="C19" s="82" t="e">
        <f>+'PERIODO 01'!AG20</f>
        <v>#DIV/0!</v>
      </c>
      <c r="D19" s="82" t="e">
        <f>+'PERIODO 02'!AG20</f>
        <v>#DIV/0!</v>
      </c>
      <c r="E19" s="81" t="e">
        <f>+'PERIODO 03'!AG20</f>
        <v>#DIV/0!</v>
      </c>
      <c r="F19" s="81" t="e">
        <f t="shared" si="5"/>
        <v>#DIV/0!</v>
      </c>
      <c r="G19" s="84"/>
      <c r="H19" s="82" t="e">
        <f t="shared" si="0"/>
        <v>#DIV/0!</v>
      </c>
      <c r="I19" s="4" t="e">
        <f t="shared" si="1"/>
        <v>#DIV/0!</v>
      </c>
      <c r="J19" s="4" t="e">
        <f t="shared" si="2"/>
        <v>#DIV/0!</v>
      </c>
      <c r="K19" s="4" t="e">
        <f t="shared" si="3"/>
        <v>#DIV/0!</v>
      </c>
      <c r="L19" s="4" t="e">
        <f>IF(#REF!&lt;3,"BAJO",IF(#REF!&lt;4,"BASICO",IF(#REF!&lt;4.5,"ALTO","SUPERIOR")))</f>
        <v>#REF!</v>
      </c>
      <c r="M19" s="4" t="e">
        <f t="shared" si="4"/>
        <v>#DIV/0!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>
      <c r="A20" s="1">
        <v>12</v>
      </c>
      <c r="B20" s="2">
        <f>+'PERIODO 03'!B21</f>
        <v>0</v>
      </c>
      <c r="C20" s="82" t="e">
        <f>+'PERIODO 01'!AG21</f>
        <v>#DIV/0!</v>
      </c>
      <c r="D20" s="82" t="e">
        <f>+'PERIODO 02'!AG21</f>
        <v>#DIV/0!</v>
      </c>
      <c r="E20" s="81" t="e">
        <f>+'PERIODO 03'!AG21</f>
        <v>#DIV/0!</v>
      </c>
      <c r="F20" s="81" t="e">
        <f t="shared" si="5"/>
        <v>#DIV/0!</v>
      </c>
      <c r="G20" s="84"/>
      <c r="H20" s="82" t="e">
        <f t="shared" si="0"/>
        <v>#DIV/0!</v>
      </c>
      <c r="I20" s="4" t="e">
        <f t="shared" si="1"/>
        <v>#DIV/0!</v>
      </c>
      <c r="J20" s="4" t="e">
        <f t="shared" si="2"/>
        <v>#DIV/0!</v>
      </c>
      <c r="K20" s="4" t="e">
        <f t="shared" si="3"/>
        <v>#DIV/0!</v>
      </c>
      <c r="L20" s="4" t="e">
        <f>IF(#REF!&lt;3,"BAJO",IF(#REF!&lt;4,"BASICO",IF(#REF!&lt;4.5,"ALTO","SUPERIOR")))</f>
        <v>#REF!</v>
      </c>
      <c r="M20" s="4" t="e">
        <f t="shared" si="4"/>
        <v>#DIV/0!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>
      <c r="A21" s="1">
        <v>13</v>
      </c>
      <c r="B21" s="2">
        <f>+'PERIODO 03'!B22</f>
        <v>0</v>
      </c>
      <c r="C21" s="82" t="e">
        <f>+'PERIODO 01'!AG22</f>
        <v>#DIV/0!</v>
      </c>
      <c r="D21" s="82" t="e">
        <f>+'PERIODO 02'!AG22</f>
        <v>#DIV/0!</v>
      </c>
      <c r="E21" s="81" t="e">
        <f>+'PERIODO 03'!AG22</f>
        <v>#DIV/0!</v>
      </c>
      <c r="F21" s="81" t="e">
        <f t="shared" si="5"/>
        <v>#DIV/0!</v>
      </c>
      <c r="G21" s="84"/>
      <c r="H21" s="82" t="e">
        <f t="shared" si="0"/>
        <v>#DIV/0!</v>
      </c>
      <c r="I21" s="4" t="e">
        <f t="shared" si="1"/>
        <v>#DIV/0!</v>
      </c>
      <c r="J21" s="4" t="e">
        <f t="shared" si="2"/>
        <v>#DIV/0!</v>
      </c>
      <c r="K21" s="4" t="e">
        <f t="shared" si="3"/>
        <v>#DIV/0!</v>
      </c>
      <c r="L21" s="4" t="e">
        <f>IF(#REF!&lt;3,"BAJO",IF(#REF!&lt;4,"BASICO",IF(#REF!&lt;4.5,"ALTO","SUPERIOR")))</f>
        <v>#REF!</v>
      </c>
      <c r="M21" s="4" t="e">
        <f t="shared" si="4"/>
        <v>#DIV/0!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>
      <c r="A22" s="1">
        <v>14</v>
      </c>
      <c r="B22" s="2">
        <f>+'PERIODO 03'!B23</f>
        <v>0</v>
      </c>
      <c r="C22" s="82" t="e">
        <f>+'PERIODO 01'!AG23</f>
        <v>#DIV/0!</v>
      </c>
      <c r="D22" s="82" t="e">
        <f>+'PERIODO 02'!AG23</f>
        <v>#DIV/0!</v>
      </c>
      <c r="E22" s="81" t="e">
        <f>+'PERIODO 03'!AG23</f>
        <v>#DIV/0!</v>
      </c>
      <c r="F22" s="81" t="e">
        <f t="shared" si="5"/>
        <v>#DIV/0!</v>
      </c>
      <c r="G22" s="84"/>
      <c r="H22" s="82" t="e">
        <f t="shared" si="0"/>
        <v>#DIV/0!</v>
      </c>
      <c r="I22" s="4" t="e">
        <f t="shared" si="1"/>
        <v>#DIV/0!</v>
      </c>
      <c r="J22" s="4" t="e">
        <f t="shared" si="2"/>
        <v>#DIV/0!</v>
      </c>
      <c r="K22" s="4" t="e">
        <f t="shared" si="3"/>
        <v>#DIV/0!</v>
      </c>
      <c r="L22" s="4" t="e">
        <f>IF(#REF!&lt;3,"BAJO",IF(#REF!&lt;4,"BASICO",IF(#REF!&lt;4.5,"ALTO","SUPERIOR")))</f>
        <v>#REF!</v>
      </c>
      <c r="M22" s="4" t="e">
        <f t="shared" si="4"/>
        <v>#DIV/0!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>
      <c r="A23" s="1">
        <v>15</v>
      </c>
      <c r="B23" s="2">
        <f>+'PERIODO 03'!B24</f>
        <v>0</v>
      </c>
      <c r="C23" s="82" t="e">
        <f>+'PERIODO 01'!AG24</f>
        <v>#DIV/0!</v>
      </c>
      <c r="D23" s="82" t="e">
        <f>+'PERIODO 02'!AG24</f>
        <v>#DIV/0!</v>
      </c>
      <c r="E23" s="81" t="e">
        <f>+'PERIODO 03'!AG24</f>
        <v>#DIV/0!</v>
      </c>
      <c r="F23" s="81" t="e">
        <f t="shared" si="5"/>
        <v>#DIV/0!</v>
      </c>
      <c r="G23" s="84"/>
      <c r="H23" s="82" t="e">
        <f t="shared" si="0"/>
        <v>#DIV/0!</v>
      </c>
      <c r="I23" s="4" t="e">
        <f t="shared" si="1"/>
        <v>#DIV/0!</v>
      </c>
      <c r="J23" s="4" t="e">
        <f t="shared" si="2"/>
        <v>#DIV/0!</v>
      </c>
      <c r="K23" s="4" t="e">
        <f t="shared" si="3"/>
        <v>#DIV/0!</v>
      </c>
      <c r="L23" s="4" t="e">
        <f>IF(#REF!&lt;3,"BAJO",IF(#REF!&lt;4,"BASICO",IF(#REF!&lt;4.5,"ALTO","SUPERIOR")))</f>
        <v>#REF!</v>
      </c>
      <c r="M23" s="4" t="e">
        <f t="shared" si="4"/>
        <v>#DIV/0!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>
      <c r="A24" s="1">
        <v>16</v>
      </c>
      <c r="B24" s="2">
        <f>+'PERIODO 03'!B25</f>
        <v>0</v>
      </c>
      <c r="C24" s="82" t="e">
        <f>+'PERIODO 01'!AG25</f>
        <v>#DIV/0!</v>
      </c>
      <c r="D24" s="82" t="e">
        <f>+'PERIODO 02'!AG25</f>
        <v>#DIV/0!</v>
      </c>
      <c r="E24" s="81" t="e">
        <f>+'PERIODO 03'!AG25</f>
        <v>#DIV/0!</v>
      </c>
      <c r="F24" s="81" t="e">
        <f t="shared" si="5"/>
        <v>#DIV/0!</v>
      </c>
      <c r="G24" s="84"/>
      <c r="H24" s="82" t="e">
        <f t="shared" si="0"/>
        <v>#DIV/0!</v>
      </c>
      <c r="I24" s="4" t="e">
        <f t="shared" si="1"/>
        <v>#DIV/0!</v>
      </c>
      <c r="J24" s="4" t="e">
        <f t="shared" si="2"/>
        <v>#DIV/0!</v>
      </c>
      <c r="K24" s="4" t="e">
        <f t="shared" si="3"/>
        <v>#DIV/0!</v>
      </c>
      <c r="L24" s="4" t="e">
        <f>IF(#REF!&lt;3,"BAJO",IF(#REF!&lt;4,"BASICO",IF(#REF!&lt;4.5,"ALTO","SUPERIOR")))</f>
        <v>#REF!</v>
      </c>
      <c r="M24" s="4" t="e">
        <f t="shared" si="4"/>
        <v>#DIV/0!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>
      <c r="A25" s="1">
        <v>17</v>
      </c>
      <c r="B25" s="2">
        <f>+'PERIODO 03'!B26</f>
        <v>0</v>
      </c>
      <c r="C25" s="82" t="e">
        <f>+'PERIODO 01'!AG26</f>
        <v>#DIV/0!</v>
      </c>
      <c r="D25" s="82" t="e">
        <f>+'PERIODO 02'!AG26</f>
        <v>#DIV/0!</v>
      </c>
      <c r="E25" s="81" t="e">
        <f>+'PERIODO 03'!AG26</f>
        <v>#DIV/0!</v>
      </c>
      <c r="F25" s="81" t="e">
        <f t="shared" si="5"/>
        <v>#DIV/0!</v>
      </c>
      <c r="G25" s="84"/>
      <c r="H25" s="82" t="e">
        <f t="shared" si="0"/>
        <v>#DIV/0!</v>
      </c>
      <c r="I25" s="4" t="e">
        <f t="shared" si="1"/>
        <v>#DIV/0!</v>
      </c>
      <c r="J25" s="4" t="e">
        <f t="shared" si="2"/>
        <v>#DIV/0!</v>
      </c>
      <c r="K25" s="4" t="e">
        <f t="shared" si="3"/>
        <v>#DIV/0!</v>
      </c>
      <c r="L25" s="4" t="e">
        <f>IF(#REF!&lt;3,"BAJO",IF(#REF!&lt;4,"BASICO",IF(#REF!&lt;4.5,"ALTO","SUPERIOR")))</f>
        <v>#REF!</v>
      </c>
      <c r="M25" s="4" t="e">
        <f t="shared" si="4"/>
        <v>#DIV/0!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>
      <c r="A26" s="1">
        <v>18</v>
      </c>
      <c r="B26" s="2">
        <f>+'PERIODO 03'!B27</f>
        <v>0</v>
      </c>
      <c r="C26" s="82" t="e">
        <f>+'PERIODO 01'!AG27</f>
        <v>#DIV/0!</v>
      </c>
      <c r="D26" s="82" t="e">
        <f>+'PERIODO 02'!AG27</f>
        <v>#DIV/0!</v>
      </c>
      <c r="E26" s="81" t="e">
        <f>+'PERIODO 03'!AG27</f>
        <v>#DIV/0!</v>
      </c>
      <c r="F26" s="81" t="e">
        <f t="shared" si="5"/>
        <v>#DIV/0!</v>
      </c>
      <c r="G26" s="84"/>
      <c r="H26" s="82" t="e">
        <f t="shared" si="0"/>
        <v>#DIV/0!</v>
      </c>
      <c r="I26" s="4" t="e">
        <f t="shared" si="1"/>
        <v>#DIV/0!</v>
      </c>
      <c r="J26" s="4" t="e">
        <f t="shared" si="2"/>
        <v>#DIV/0!</v>
      </c>
      <c r="K26" s="4" t="e">
        <f t="shared" si="3"/>
        <v>#DIV/0!</v>
      </c>
      <c r="L26" s="4" t="e">
        <f>IF(#REF!&lt;3,"BAJO",IF(#REF!&lt;4,"BASICO",IF(#REF!&lt;4.5,"ALTO","SUPERIOR")))</f>
        <v>#REF!</v>
      </c>
      <c r="M26" s="4" t="e">
        <f t="shared" si="4"/>
        <v>#DIV/0!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1">
        <v>19</v>
      </c>
      <c r="B27" s="2">
        <f>+'PERIODO 03'!B28</f>
        <v>0</v>
      </c>
      <c r="C27" s="82" t="e">
        <f>+'PERIODO 01'!AG28</f>
        <v>#DIV/0!</v>
      </c>
      <c r="D27" s="82" t="e">
        <f>+'PERIODO 02'!AG28</f>
        <v>#DIV/0!</v>
      </c>
      <c r="E27" s="81" t="e">
        <f>+'PERIODO 03'!AG28</f>
        <v>#DIV/0!</v>
      </c>
      <c r="F27" s="81" t="e">
        <f t="shared" si="5"/>
        <v>#DIV/0!</v>
      </c>
      <c r="G27" s="84"/>
      <c r="H27" s="82" t="e">
        <f t="shared" si="0"/>
        <v>#DIV/0!</v>
      </c>
      <c r="I27" s="4" t="e">
        <f t="shared" si="1"/>
        <v>#DIV/0!</v>
      </c>
      <c r="J27" s="4" t="e">
        <f t="shared" si="2"/>
        <v>#DIV/0!</v>
      </c>
      <c r="K27" s="4" t="e">
        <f t="shared" si="3"/>
        <v>#DIV/0!</v>
      </c>
      <c r="L27" s="4" t="e">
        <f>IF(#REF!&lt;3,"BAJO",IF(#REF!&lt;4,"BASICO",IF(#REF!&lt;4.5,"ALTO","SUPERIOR")))</f>
        <v>#REF!</v>
      </c>
      <c r="M27" s="4" t="e">
        <f t="shared" si="4"/>
        <v>#DIV/0!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>
      <c r="A28" s="1">
        <v>20</v>
      </c>
      <c r="B28" s="2">
        <f>+'PERIODO 03'!B29</f>
        <v>0</v>
      </c>
      <c r="C28" s="82" t="e">
        <f>+'PERIODO 01'!AG29</f>
        <v>#DIV/0!</v>
      </c>
      <c r="D28" s="82" t="e">
        <f>+'PERIODO 02'!AG29</f>
        <v>#DIV/0!</v>
      </c>
      <c r="E28" s="81" t="e">
        <f>+'PERIODO 03'!AG29</f>
        <v>#DIV/0!</v>
      </c>
      <c r="F28" s="81" t="e">
        <f t="shared" si="5"/>
        <v>#DIV/0!</v>
      </c>
      <c r="G28" s="84"/>
      <c r="H28" s="82" t="e">
        <f t="shared" si="0"/>
        <v>#DIV/0!</v>
      </c>
      <c r="I28" s="4" t="e">
        <f t="shared" si="1"/>
        <v>#DIV/0!</v>
      </c>
      <c r="J28" s="4" t="e">
        <f t="shared" si="2"/>
        <v>#DIV/0!</v>
      </c>
      <c r="K28" s="4" t="e">
        <f t="shared" si="3"/>
        <v>#DIV/0!</v>
      </c>
      <c r="L28" s="4" t="e">
        <f>IF(#REF!&lt;3,"BAJO",IF(#REF!&lt;4,"BASICO",IF(#REF!&lt;4.5,"ALTO","SUPERIOR")))</f>
        <v>#REF!</v>
      </c>
      <c r="M28" s="4" t="e">
        <f t="shared" si="4"/>
        <v>#DIV/0!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1">
        <v>21</v>
      </c>
      <c r="B29" s="2">
        <f>+'PERIODO 03'!B30</f>
        <v>0</v>
      </c>
      <c r="C29" s="82" t="e">
        <f>+'PERIODO 01'!AG30</f>
        <v>#DIV/0!</v>
      </c>
      <c r="D29" s="82" t="e">
        <f>+'PERIODO 02'!AG30</f>
        <v>#DIV/0!</v>
      </c>
      <c r="E29" s="81" t="e">
        <f>+'PERIODO 03'!AG30</f>
        <v>#DIV/0!</v>
      </c>
      <c r="F29" s="81" t="e">
        <f t="shared" si="5"/>
        <v>#DIV/0!</v>
      </c>
      <c r="G29" s="84"/>
      <c r="H29" s="82" t="e">
        <f t="shared" si="0"/>
        <v>#DIV/0!</v>
      </c>
      <c r="I29" s="4" t="e">
        <f t="shared" si="1"/>
        <v>#DIV/0!</v>
      </c>
      <c r="J29" s="4" t="e">
        <f t="shared" si="2"/>
        <v>#DIV/0!</v>
      </c>
      <c r="K29" s="4" t="e">
        <f t="shared" si="3"/>
        <v>#DIV/0!</v>
      </c>
      <c r="L29" s="4" t="e">
        <f>IF(#REF!&lt;3,"BAJO",IF(#REF!&lt;4,"BASICO",IF(#REF!&lt;4.5,"ALTO","SUPERIOR")))</f>
        <v>#REF!</v>
      </c>
      <c r="M29" s="4" t="e">
        <f t="shared" si="4"/>
        <v>#DIV/0!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1">
        <v>22</v>
      </c>
      <c r="B30" s="2">
        <f>+'PERIODO 03'!B31</f>
        <v>0</v>
      </c>
      <c r="C30" s="82" t="e">
        <f>+'PERIODO 01'!AG31</f>
        <v>#DIV/0!</v>
      </c>
      <c r="D30" s="82" t="e">
        <f>+'PERIODO 02'!AG31</f>
        <v>#DIV/0!</v>
      </c>
      <c r="E30" s="81" t="e">
        <f>+'PERIODO 03'!AG31</f>
        <v>#DIV/0!</v>
      </c>
      <c r="F30" s="81" t="e">
        <f t="shared" si="5"/>
        <v>#DIV/0!</v>
      </c>
      <c r="G30" s="84"/>
      <c r="H30" s="82" t="e">
        <f t="shared" si="0"/>
        <v>#DIV/0!</v>
      </c>
      <c r="I30" s="4" t="e">
        <f t="shared" si="1"/>
        <v>#DIV/0!</v>
      </c>
      <c r="J30" s="4" t="e">
        <f t="shared" si="2"/>
        <v>#DIV/0!</v>
      </c>
      <c r="K30" s="4" t="e">
        <f t="shared" si="3"/>
        <v>#DIV/0!</v>
      </c>
      <c r="L30" s="4" t="e">
        <f>IF(#REF!&lt;3,"BAJO",IF(#REF!&lt;4,"BASICO",IF(#REF!&lt;4.5,"ALTO","SUPERIOR")))</f>
        <v>#REF!</v>
      </c>
      <c r="M30" s="4" t="e">
        <f t="shared" si="4"/>
        <v>#DIV/0!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1">
        <v>23</v>
      </c>
      <c r="B31" s="2">
        <f>+'PERIODO 03'!B32</f>
        <v>0</v>
      </c>
      <c r="C31" s="82" t="e">
        <f>+'PERIODO 01'!AG32</f>
        <v>#DIV/0!</v>
      </c>
      <c r="D31" s="82" t="e">
        <f>+'PERIODO 02'!AG32</f>
        <v>#DIV/0!</v>
      </c>
      <c r="E31" s="81" t="e">
        <f>+'PERIODO 03'!AG32</f>
        <v>#DIV/0!</v>
      </c>
      <c r="F31" s="81" t="e">
        <f t="shared" si="5"/>
        <v>#DIV/0!</v>
      </c>
      <c r="G31" s="84"/>
      <c r="H31" s="82" t="e">
        <f t="shared" si="0"/>
        <v>#DIV/0!</v>
      </c>
      <c r="I31" s="4" t="e">
        <f t="shared" si="1"/>
        <v>#DIV/0!</v>
      </c>
      <c r="J31" s="4" t="e">
        <f t="shared" si="2"/>
        <v>#DIV/0!</v>
      </c>
      <c r="K31" s="4" t="e">
        <f t="shared" si="3"/>
        <v>#DIV/0!</v>
      </c>
      <c r="L31" s="4" t="e">
        <f>IF(#REF!&lt;3,"BAJO",IF(#REF!&lt;4,"BASICO",IF(#REF!&lt;4.5,"ALTO","SUPERIOR")))</f>
        <v>#REF!</v>
      </c>
      <c r="M31" s="4" t="e">
        <f t="shared" si="4"/>
        <v>#DIV/0!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>
      <c r="A32" s="1">
        <v>24</v>
      </c>
      <c r="B32" s="2">
        <f>+'PERIODO 03'!B33</f>
        <v>0</v>
      </c>
      <c r="C32" s="82" t="e">
        <f>+'PERIODO 01'!AG33</f>
        <v>#DIV/0!</v>
      </c>
      <c r="D32" s="82" t="e">
        <f>+'PERIODO 02'!AG33</f>
        <v>#DIV/0!</v>
      </c>
      <c r="E32" s="81" t="e">
        <f>+'PERIODO 03'!AG33</f>
        <v>#DIV/0!</v>
      </c>
      <c r="F32" s="81" t="e">
        <f t="shared" si="5"/>
        <v>#DIV/0!</v>
      </c>
      <c r="G32" s="84"/>
      <c r="H32" s="82" t="e">
        <f t="shared" si="0"/>
        <v>#DIV/0!</v>
      </c>
      <c r="I32" s="4" t="e">
        <f t="shared" si="1"/>
        <v>#DIV/0!</v>
      </c>
      <c r="J32" s="4" t="e">
        <f t="shared" si="2"/>
        <v>#DIV/0!</v>
      </c>
      <c r="K32" s="4" t="e">
        <f t="shared" si="3"/>
        <v>#DIV/0!</v>
      </c>
      <c r="L32" s="4" t="e">
        <f>IF(#REF!&lt;3,"BAJO",IF(#REF!&lt;4,"BASICO",IF(#REF!&lt;4.5,"ALTO","SUPERIOR")))</f>
        <v>#REF!</v>
      </c>
      <c r="M32" s="4" t="e">
        <f t="shared" si="4"/>
        <v>#DIV/0!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>
      <c r="A33" s="1">
        <v>25</v>
      </c>
      <c r="B33" s="2">
        <f>+'PERIODO 03'!B34</f>
        <v>0</v>
      </c>
      <c r="C33" s="82" t="e">
        <f>+'PERIODO 01'!AG34</f>
        <v>#DIV/0!</v>
      </c>
      <c r="D33" s="82" t="e">
        <f>+'PERIODO 02'!AG34</f>
        <v>#DIV/0!</v>
      </c>
      <c r="E33" s="81" t="e">
        <f>+'PERIODO 03'!AG34</f>
        <v>#DIV/0!</v>
      </c>
      <c r="F33" s="81" t="e">
        <f t="shared" si="5"/>
        <v>#DIV/0!</v>
      </c>
      <c r="G33" s="84"/>
      <c r="H33" s="82" t="e">
        <f t="shared" si="0"/>
        <v>#DIV/0!</v>
      </c>
      <c r="I33" s="4" t="e">
        <f t="shared" si="1"/>
        <v>#DIV/0!</v>
      </c>
      <c r="J33" s="4" t="e">
        <f t="shared" si="2"/>
        <v>#DIV/0!</v>
      </c>
      <c r="K33" s="4" t="e">
        <f t="shared" si="3"/>
        <v>#DIV/0!</v>
      </c>
      <c r="L33" s="4" t="e">
        <f>IF(#REF!&lt;3,"BAJO",IF(#REF!&lt;4,"BASICO",IF(#REF!&lt;4.5,"ALTO","SUPERIOR")))</f>
        <v>#REF!</v>
      </c>
      <c r="M33" s="4" t="e">
        <f t="shared" si="4"/>
        <v>#DIV/0!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>
      <c r="A34" s="1">
        <v>26</v>
      </c>
      <c r="B34" s="2">
        <f>+'PERIODO 03'!B35</f>
        <v>0</v>
      </c>
      <c r="C34" s="82" t="e">
        <f>+'PERIODO 01'!AG35</f>
        <v>#DIV/0!</v>
      </c>
      <c r="D34" s="82" t="e">
        <f>+'PERIODO 02'!AG35</f>
        <v>#DIV/0!</v>
      </c>
      <c r="E34" s="81" t="e">
        <f>+'PERIODO 03'!AG35</f>
        <v>#DIV/0!</v>
      </c>
      <c r="F34" s="81" t="e">
        <f t="shared" si="5"/>
        <v>#DIV/0!</v>
      </c>
      <c r="G34" s="84"/>
      <c r="H34" s="82" t="e">
        <f t="shared" si="0"/>
        <v>#DIV/0!</v>
      </c>
      <c r="I34" s="4" t="e">
        <f t="shared" si="1"/>
        <v>#DIV/0!</v>
      </c>
      <c r="J34" s="4" t="e">
        <f t="shared" si="2"/>
        <v>#DIV/0!</v>
      </c>
      <c r="K34" s="4" t="e">
        <f t="shared" si="3"/>
        <v>#DIV/0!</v>
      </c>
      <c r="L34" s="4" t="e">
        <f>IF(#REF!&lt;3,"BAJO",IF(#REF!&lt;4,"BASICO",IF(#REF!&lt;4.5,"ALTO","SUPERIOR")))</f>
        <v>#REF!</v>
      </c>
      <c r="M34" s="4" t="e">
        <f t="shared" si="4"/>
        <v>#DIV/0!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>
      <c r="A35" s="1">
        <v>27</v>
      </c>
      <c r="B35" s="2">
        <f>+'PERIODO 03'!B36</f>
        <v>0</v>
      </c>
      <c r="C35" s="82" t="e">
        <f>+'PERIODO 01'!AG36</f>
        <v>#DIV/0!</v>
      </c>
      <c r="D35" s="82" t="e">
        <f>+'PERIODO 02'!AG36</f>
        <v>#DIV/0!</v>
      </c>
      <c r="E35" s="81" t="e">
        <f>+'PERIODO 03'!AG36</f>
        <v>#DIV/0!</v>
      </c>
      <c r="F35" s="81" t="e">
        <f t="shared" si="5"/>
        <v>#DIV/0!</v>
      </c>
      <c r="G35" s="84"/>
      <c r="H35" s="82" t="e">
        <f t="shared" si="0"/>
        <v>#DIV/0!</v>
      </c>
      <c r="I35" s="4" t="e">
        <f t="shared" si="1"/>
        <v>#DIV/0!</v>
      </c>
      <c r="J35" s="4" t="e">
        <f t="shared" si="2"/>
        <v>#DIV/0!</v>
      </c>
      <c r="K35" s="4" t="e">
        <f t="shared" si="3"/>
        <v>#DIV/0!</v>
      </c>
      <c r="L35" s="4" t="e">
        <f>IF(#REF!&lt;3,"BAJO",IF(#REF!&lt;4,"BASICO",IF(#REF!&lt;4.5,"ALTO","SUPERIOR")))</f>
        <v>#REF!</v>
      </c>
      <c r="M35" s="4" t="e">
        <f t="shared" si="4"/>
        <v>#DIV/0!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1">
        <v>28</v>
      </c>
      <c r="B36" s="2">
        <f>+'PERIODO 03'!B37</f>
        <v>0</v>
      </c>
      <c r="C36" s="82" t="e">
        <f>+'PERIODO 01'!AG37</f>
        <v>#DIV/0!</v>
      </c>
      <c r="D36" s="82" t="e">
        <f>+'PERIODO 02'!AG37</f>
        <v>#DIV/0!</v>
      </c>
      <c r="E36" s="81" t="e">
        <f>+'PERIODO 03'!AG37</f>
        <v>#DIV/0!</v>
      </c>
      <c r="F36" s="81" t="e">
        <f t="shared" si="5"/>
        <v>#DIV/0!</v>
      </c>
      <c r="G36" s="84"/>
      <c r="H36" s="82" t="e">
        <f t="shared" si="0"/>
        <v>#DIV/0!</v>
      </c>
      <c r="I36" s="4" t="e">
        <f t="shared" si="1"/>
        <v>#DIV/0!</v>
      </c>
      <c r="J36" s="4" t="e">
        <f t="shared" si="2"/>
        <v>#DIV/0!</v>
      </c>
      <c r="K36" s="4" t="e">
        <f t="shared" si="3"/>
        <v>#DIV/0!</v>
      </c>
      <c r="L36" s="4" t="e">
        <f>IF(#REF!&lt;3,"BAJO",IF(#REF!&lt;4,"BASICO",IF(#REF!&lt;4.5,"ALTO","SUPERIOR")))</f>
        <v>#REF!</v>
      </c>
      <c r="M36" s="4" t="e">
        <f t="shared" si="4"/>
        <v>#DIV/0!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>
      <c r="A37" s="1">
        <v>29</v>
      </c>
      <c r="B37" s="2">
        <f>+'PERIODO 03'!B38</f>
        <v>0</v>
      </c>
      <c r="C37" s="82" t="e">
        <f>+'PERIODO 01'!AG38</f>
        <v>#DIV/0!</v>
      </c>
      <c r="D37" s="82" t="e">
        <f>+'PERIODO 02'!AG38</f>
        <v>#DIV/0!</v>
      </c>
      <c r="E37" s="81" t="e">
        <f>+'PERIODO 03'!AG38</f>
        <v>#DIV/0!</v>
      </c>
      <c r="F37" s="81" t="e">
        <f t="shared" si="5"/>
        <v>#DIV/0!</v>
      </c>
      <c r="G37" s="84"/>
      <c r="H37" s="82" t="e">
        <f t="shared" si="0"/>
        <v>#DIV/0!</v>
      </c>
      <c r="I37" s="4" t="e">
        <f t="shared" si="1"/>
        <v>#DIV/0!</v>
      </c>
      <c r="J37" s="4" t="e">
        <f t="shared" si="2"/>
        <v>#DIV/0!</v>
      </c>
      <c r="K37" s="4" t="e">
        <f t="shared" si="3"/>
        <v>#DIV/0!</v>
      </c>
      <c r="L37" s="4" t="e">
        <f>IF(#REF!&lt;3,"BAJO",IF(#REF!&lt;4,"BASICO",IF(#REF!&lt;4.5,"ALTO","SUPERIOR")))</f>
        <v>#REF!</v>
      </c>
      <c r="M37" s="4" t="e">
        <f t="shared" si="4"/>
        <v>#DIV/0!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1">
        <v>30</v>
      </c>
      <c r="B38" s="2">
        <f>+'PERIODO 03'!B39</f>
        <v>0</v>
      </c>
      <c r="C38" s="82" t="e">
        <f>+'PERIODO 01'!AG39</f>
        <v>#DIV/0!</v>
      </c>
      <c r="D38" s="82" t="e">
        <f>+'PERIODO 02'!AG39</f>
        <v>#DIV/0!</v>
      </c>
      <c r="E38" s="81" t="e">
        <f>+'PERIODO 03'!AG39</f>
        <v>#DIV/0!</v>
      </c>
      <c r="F38" s="81" t="e">
        <f t="shared" si="5"/>
        <v>#DIV/0!</v>
      </c>
      <c r="G38" s="84"/>
      <c r="H38" s="82" t="e">
        <f t="shared" si="0"/>
        <v>#DIV/0!</v>
      </c>
      <c r="I38" s="4" t="e">
        <f t="shared" si="1"/>
        <v>#DIV/0!</v>
      </c>
      <c r="J38" s="4" t="e">
        <f t="shared" si="2"/>
        <v>#DIV/0!</v>
      </c>
      <c r="K38" s="4" t="e">
        <f t="shared" si="3"/>
        <v>#DIV/0!</v>
      </c>
      <c r="L38" s="4" t="e">
        <f>IF(#REF!&lt;3,"BAJO",IF(#REF!&lt;4,"BASICO",IF(#REF!&lt;4.5,"ALTO","SUPERIOR")))</f>
        <v>#REF!</v>
      </c>
      <c r="M38" s="4" t="e">
        <f t="shared" si="4"/>
        <v>#DIV/0!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1">
        <v>31</v>
      </c>
      <c r="B39" s="2">
        <f>+'PERIODO 03'!B40</f>
        <v>0</v>
      </c>
      <c r="C39" s="82" t="e">
        <f>+'PERIODO 01'!AG40</f>
        <v>#DIV/0!</v>
      </c>
      <c r="D39" s="82" t="e">
        <f>+'PERIODO 02'!AG40</f>
        <v>#DIV/0!</v>
      </c>
      <c r="E39" s="81" t="e">
        <f>+'PERIODO 03'!AG40</f>
        <v>#DIV/0!</v>
      </c>
      <c r="F39" s="81" t="e">
        <f t="shared" si="5"/>
        <v>#DIV/0!</v>
      </c>
      <c r="G39" s="84"/>
      <c r="H39" s="82" t="e">
        <f t="shared" si="0"/>
        <v>#DIV/0!</v>
      </c>
      <c r="I39" s="4" t="e">
        <f t="shared" si="1"/>
        <v>#DIV/0!</v>
      </c>
      <c r="J39" s="4" t="e">
        <f t="shared" si="2"/>
        <v>#DIV/0!</v>
      </c>
      <c r="K39" s="4" t="e">
        <f t="shared" si="3"/>
        <v>#DIV/0!</v>
      </c>
      <c r="L39" s="4" t="e">
        <f>IF(#REF!&lt;3,"BAJO",IF(#REF!&lt;4,"BASICO",IF(#REF!&lt;4.5,"ALTO","SUPERIOR")))</f>
        <v>#REF!</v>
      </c>
      <c r="M39" s="4" t="e">
        <f t="shared" si="4"/>
        <v>#DIV/0!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1">
        <v>32</v>
      </c>
      <c r="B40" s="2">
        <f>+'PERIODO 03'!B41</f>
        <v>0</v>
      </c>
      <c r="C40" s="82" t="e">
        <f>+'PERIODO 01'!AG41</f>
        <v>#DIV/0!</v>
      </c>
      <c r="D40" s="82" t="e">
        <f>+'PERIODO 02'!AG41</f>
        <v>#DIV/0!</v>
      </c>
      <c r="E40" s="81" t="e">
        <f>+'PERIODO 03'!AG41</f>
        <v>#DIV/0!</v>
      </c>
      <c r="F40" s="81" t="e">
        <f t="shared" si="5"/>
        <v>#DIV/0!</v>
      </c>
      <c r="G40" s="84"/>
      <c r="H40" s="82" t="e">
        <f t="shared" si="0"/>
        <v>#DIV/0!</v>
      </c>
      <c r="I40" s="4" t="e">
        <f t="shared" si="1"/>
        <v>#DIV/0!</v>
      </c>
      <c r="J40" s="4" t="e">
        <f t="shared" si="2"/>
        <v>#DIV/0!</v>
      </c>
      <c r="K40" s="4" t="e">
        <f t="shared" si="3"/>
        <v>#DIV/0!</v>
      </c>
      <c r="L40" s="4" t="e">
        <f>IF(#REF!&lt;3,"BAJO",IF(#REF!&lt;4,"BASICO",IF(#REF!&lt;4.5,"ALTO","SUPERIOR")))</f>
        <v>#REF!</v>
      </c>
      <c r="M40" s="4" t="e">
        <f t="shared" si="4"/>
        <v>#DIV/0!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>
      <c r="A41" s="1">
        <v>33</v>
      </c>
      <c r="B41" s="2">
        <f>+'PERIODO 03'!B42</f>
        <v>0</v>
      </c>
      <c r="C41" s="82" t="e">
        <f>+'PERIODO 01'!AG42</f>
        <v>#DIV/0!</v>
      </c>
      <c r="D41" s="82" t="e">
        <f>+'PERIODO 02'!AG42</f>
        <v>#DIV/0!</v>
      </c>
      <c r="E41" s="81" t="e">
        <f>+'PERIODO 03'!AG42</f>
        <v>#DIV/0!</v>
      </c>
      <c r="F41" s="81" t="e">
        <f t="shared" si="5"/>
        <v>#DIV/0!</v>
      </c>
      <c r="G41" s="84"/>
      <c r="H41" s="82" t="e">
        <f t="shared" si="0"/>
        <v>#DIV/0!</v>
      </c>
      <c r="I41" s="4" t="e">
        <f t="shared" si="1"/>
        <v>#DIV/0!</v>
      </c>
      <c r="J41" s="4" t="e">
        <f t="shared" si="2"/>
        <v>#DIV/0!</v>
      </c>
      <c r="K41" s="4" t="e">
        <f t="shared" si="3"/>
        <v>#DIV/0!</v>
      </c>
      <c r="L41" s="4" t="e">
        <f>IF(#REF!&lt;3,"BAJO",IF(#REF!&lt;4,"BASICO",IF(#REF!&lt;4.5,"ALTO","SUPERIOR")))</f>
        <v>#REF!</v>
      </c>
      <c r="M41" s="4" t="e">
        <f t="shared" si="4"/>
        <v>#DIV/0!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1">
        <v>34</v>
      </c>
      <c r="B42" s="2">
        <f>+'PERIODO 03'!B43</f>
        <v>0</v>
      </c>
      <c r="C42" s="82" t="e">
        <f>+'PERIODO 01'!AG43</f>
        <v>#DIV/0!</v>
      </c>
      <c r="D42" s="82" t="e">
        <f>+'PERIODO 02'!AG43</f>
        <v>#DIV/0!</v>
      </c>
      <c r="E42" s="81" t="e">
        <f>+'PERIODO 03'!AG43</f>
        <v>#DIV/0!</v>
      </c>
      <c r="F42" s="81" t="e">
        <f t="shared" si="5"/>
        <v>#DIV/0!</v>
      </c>
      <c r="G42" s="84"/>
      <c r="H42" s="82" t="e">
        <f t="shared" si="0"/>
        <v>#DIV/0!</v>
      </c>
      <c r="I42" s="4" t="e">
        <f t="shared" si="1"/>
        <v>#DIV/0!</v>
      </c>
      <c r="J42" s="4" t="e">
        <f t="shared" si="2"/>
        <v>#DIV/0!</v>
      </c>
      <c r="K42" s="4" t="e">
        <f t="shared" si="3"/>
        <v>#DIV/0!</v>
      </c>
      <c r="L42" s="4" t="e">
        <f>IF(#REF!&lt;3,"BAJO",IF(#REF!&lt;4,"BASICO",IF(#REF!&lt;4.5,"ALTO","SUPERIOR")))</f>
        <v>#REF!</v>
      </c>
      <c r="M42" s="4" t="e">
        <f t="shared" si="4"/>
        <v>#DIV/0!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1">
        <v>35</v>
      </c>
      <c r="B43" s="2">
        <f>+'PERIODO 03'!B44</f>
        <v>0</v>
      </c>
      <c r="C43" s="82" t="e">
        <f>+'PERIODO 01'!AG44</f>
        <v>#DIV/0!</v>
      </c>
      <c r="D43" s="82" t="e">
        <f>+'PERIODO 02'!AG44</f>
        <v>#DIV/0!</v>
      </c>
      <c r="E43" s="81" t="e">
        <f>+'PERIODO 03'!AG44</f>
        <v>#DIV/0!</v>
      </c>
      <c r="F43" s="81" t="e">
        <f t="shared" si="5"/>
        <v>#DIV/0!</v>
      </c>
      <c r="G43" s="84"/>
      <c r="H43" s="82" t="e">
        <f t="shared" si="0"/>
        <v>#DIV/0!</v>
      </c>
      <c r="I43" s="4" t="e">
        <f t="shared" si="1"/>
        <v>#DIV/0!</v>
      </c>
      <c r="J43" s="4" t="e">
        <f t="shared" si="2"/>
        <v>#DIV/0!</v>
      </c>
      <c r="K43" s="4" t="e">
        <f t="shared" si="3"/>
        <v>#DIV/0!</v>
      </c>
      <c r="L43" s="4" t="e">
        <f>IF(#REF!&lt;3,"BAJO",IF(#REF!&lt;4,"BASICO",IF(#REF!&lt;4.5,"ALTO","SUPERIOR")))</f>
        <v>#REF!</v>
      </c>
      <c r="M43" s="4" t="e">
        <f t="shared" si="4"/>
        <v>#DIV/0!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1">
        <v>36</v>
      </c>
      <c r="B44" s="2">
        <f>+'PERIODO 03'!B45</f>
        <v>0</v>
      </c>
      <c r="C44" s="82" t="e">
        <f>+'PERIODO 01'!AG45</f>
        <v>#DIV/0!</v>
      </c>
      <c r="D44" s="82" t="e">
        <f>+'PERIODO 02'!AG45</f>
        <v>#DIV/0!</v>
      </c>
      <c r="E44" s="81" t="e">
        <f>+'PERIODO 03'!AG45</f>
        <v>#DIV/0!</v>
      </c>
      <c r="F44" s="81" t="e">
        <f t="shared" si="5"/>
        <v>#DIV/0!</v>
      </c>
      <c r="G44" s="84"/>
      <c r="H44" s="82" t="e">
        <f t="shared" si="0"/>
        <v>#DIV/0!</v>
      </c>
      <c r="I44" s="4" t="e">
        <f t="shared" si="1"/>
        <v>#DIV/0!</v>
      </c>
      <c r="J44" s="4" t="e">
        <f t="shared" si="2"/>
        <v>#DIV/0!</v>
      </c>
      <c r="K44" s="4" t="e">
        <f t="shared" si="3"/>
        <v>#DIV/0!</v>
      </c>
      <c r="L44" s="4" t="e">
        <f>IF(#REF!&lt;3,"BAJO",IF(#REF!&lt;4,"BASICO",IF(#REF!&lt;4.5,"ALTO","SUPERIOR")))</f>
        <v>#REF!</v>
      </c>
      <c r="M44" s="4" t="e">
        <f t="shared" si="4"/>
        <v>#DIV/0!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>
      <c r="A45" s="1">
        <v>37</v>
      </c>
      <c r="B45" s="2">
        <f>+'PERIODO 03'!B46</f>
        <v>0</v>
      </c>
      <c r="C45" s="82" t="e">
        <f>+'PERIODO 01'!AG46</f>
        <v>#DIV/0!</v>
      </c>
      <c r="D45" s="82" t="e">
        <f>+'PERIODO 02'!AG46</f>
        <v>#DIV/0!</v>
      </c>
      <c r="E45" s="81" t="e">
        <f>+'PERIODO 03'!AG46</f>
        <v>#DIV/0!</v>
      </c>
      <c r="F45" s="81" t="e">
        <f t="shared" si="5"/>
        <v>#DIV/0!</v>
      </c>
      <c r="G45" s="84"/>
      <c r="H45" s="82" t="e">
        <f t="shared" si="0"/>
        <v>#DIV/0!</v>
      </c>
      <c r="I45" s="4" t="e">
        <f t="shared" si="1"/>
        <v>#DIV/0!</v>
      </c>
      <c r="J45" s="4" t="e">
        <f t="shared" si="2"/>
        <v>#DIV/0!</v>
      </c>
      <c r="K45" s="4" t="e">
        <f t="shared" si="3"/>
        <v>#DIV/0!</v>
      </c>
      <c r="L45" s="4" t="e">
        <f>IF(#REF!&lt;3,"BAJO",IF(#REF!&lt;4,"BASICO",IF(#REF!&lt;4.5,"ALTO","SUPERIOR")))</f>
        <v>#REF!</v>
      </c>
      <c r="M45" s="4" t="e">
        <f t="shared" si="4"/>
        <v>#DIV/0!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>
      <c r="A46" s="1">
        <v>38</v>
      </c>
      <c r="B46" s="2">
        <f>+'PERIODO 03'!B47</f>
        <v>0</v>
      </c>
      <c r="C46" s="82" t="e">
        <f>+'PERIODO 01'!AG47</f>
        <v>#DIV/0!</v>
      </c>
      <c r="D46" s="82" t="e">
        <f>+'PERIODO 02'!AG47</f>
        <v>#DIV/0!</v>
      </c>
      <c r="E46" s="81" t="e">
        <f>+'PERIODO 03'!AG47</f>
        <v>#DIV/0!</v>
      </c>
      <c r="F46" s="81" t="e">
        <f t="shared" si="5"/>
        <v>#DIV/0!</v>
      </c>
      <c r="G46" s="84"/>
      <c r="H46" s="82" t="e">
        <f t="shared" si="0"/>
        <v>#DIV/0!</v>
      </c>
      <c r="I46" s="4" t="e">
        <f t="shared" si="1"/>
        <v>#DIV/0!</v>
      </c>
      <c r="J46" s="4" t="e">
        <f t="shared" si="2"/>
        <v>#DIV/0!</v>
      </c>
      <c r="K46" s="4" t="e">
        <f t="shared" si="3"/>
        <v>#DIV/0!</v>
      </c>
      <c r="L46" s="4" t="e">
        <f>IF(#REF!&lt;3,"BAJO",IF(#REF!&lt;4,"BASICO",IF(#REF!&lt;4.5,"ALTO","SUPERIOR")))</f>
        <v>#REF!</v>
      </c>
      <c r="M46" s="4" t="e">
        <f t="shared" si="4"/>
        <v>#DIV/0!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>
      <c r="A47" s="1">
        <v>39</v>
      </c>
      <c r="B47" s="2">
        <f>+'PERIODO 03'!B48</f>
        <v>0</v>
      </c>
      <c r="C47" s="82" t="e">
        <f>+'PERIODO 01'!AG48</f>
        <v>#DIV/0!</v>
      </c>
      <c r="D47" s="82" t="e">
        <f>+'PERIODO 02'!AG48</f>
        <v>#DIV/0!</v>
      </c>
      <c r="E47" s="81" t="e">
        <f>+'PERIODO 03'!AG48</f>
        <v>#DIV/0!</v>
      </c>
      <c r="F47" s="81" t="e">
        <f t="shared" si="5"/>
        <v>#DIV/0!</v>
      </c>
      <c r="G47" s="84"/>
      <c r="H47" s="82" t="e">
        <f t="shared" si="0"/>
        <v>#DIV/0!</v>
      </c>
      <c r="I47" s="4" t="e">
        <f t="shared" si="1"/>
        <v>#DIV/0!</v>
      </c>
      <c r="J47" s="4" t="e">
        <f t="shared" si="2"/>
        <v>#DIV/0!</v>
      </c>
      <c r="K47" s="4" t="e">
        <f t="shared" si="3"/>
        <v>#DIV/0!</v>
      </c>
      <c r="L47" s="4" t="e">
        <f>IF(#REF!&lt;3,"BAJO",IF(#REF!&lt;4,"BASICO",IF(#REF!&lt;4.5,"ALTO","SUPERIOR")))</f>
        <v>#REF!</v>
      </c>
      <c r="M47" s="4" t="e">
        <f t="shared" si="4"/>
        <v>#DIV/0!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>
      <c r="A48" s="1">
        <v>40</v>
      </c>
      <c r="B48" s="2">
        <f>+'PERIODO 03'!B49</f>
        <v>0</v>
      </c>
      <c r="C48" s="82" t="e">
        <f>+'PERIODO 01'!AG49</f>
        <v>#DIV/0!</v>
      </c>
      <c r="D48" s="82" t="e">
        <f>+'PERIODO 02'!AG49</f>
        <v>#DIV/0!</v>
      </c>
      <c r="E48" s="81" t="e">
        <f>+'PERIODO 03'!AG49</f>
        <v>#DIV/0!</v>
      </c>
      <c r="F48" s="81" t="e">
        <f t="shared" si="5"/>
        <v>#DIV/0!</v>
      </c>
      <c r="G48" s="84"/>
      <c r="H48" s="82" t="e">
        <f t="shared" si="0"/>
        <v>#DIV/0!</v>
      </c>
      <c r="I48" s="4" t="e">
        <f t="shared" si="1"/>
        <v>#DIV/0!</v>
      </c>
      <c r="J48" s="4" t="e">
        <f t="shared" si="2"/>
        <v>#DIV/0!</v>
      </c>
      <c r="K48" s="4" t="e">
        <f t="shared" si="3"/>
        <v>#DIV/0!</v>
      </c>
      <c r="L48" s="4" t="e">
        <f>IF(#REF!&lt;3,"BAJO",IF(#REF!&lt;4,"BASICO",IF(#REF!&lt;4.5,"ALTO","SUPERIOR")))</f>
        <v>#REF!</v>
      </c>
      <c r="M48" s="4" t="e">
        <f t="shared" si="4"/>
        <v>#DIV/0!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>
      <c r="A49" s="4"/>
      <c r="B49" s="4"/>
      <c r="C49" s="80"/>
      <c r="D49" s="80"/>
      <c r="E49" s="80"/>
      <c r="F49" s="80"/>
      <c r="G49" s="80"/>
      <c r="H49" s="80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>
      <c r="A50" s="4"/>
      <c r="B50" s="4"/>
      <c r="C50" s="80"/>
      <c r="D50" s="80"/>
      <c r="E50" s="80"/>
      <c r="F50" s="80"/>
      <c r="G50" s="80"/>
      <c r="H50" s="80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>
      <c r="A51" s="4"/>
      <c r="B51" s="4"/>
      <c r="C51" s="80"/>
      <c r="D51" s="80"/>
      <c r="E51" s="80"/>
      <c r="F51" s="80"/>
      <c r="G51" s="80"/>
      <c r="H51" s="80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>
      <c r="A52" s="4"/>
      <c r="B52" s="4"/>
      <c r="C52" s="80"/>
      <c r="D52" s="80"/>
      <c r="E52" s="80"/>
      <c r="F52" s="80"/>
      <c r="G52" s="80"/>
      <c r="H52" s="80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>
      <c r="A53" s="4"/>
      <c r="B53" s="4"/>
      <c r="C53" s="80"/>
      <c r="D53" s="80"/>
      <c r="E53" s="80"/>
      <c r="F53" s="80"/>
      <c r="G53" s="80"/>
      <c r="H53" s="80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>
      <c r="A54" s="4"/>
      <c r="B54" s="4"/>
      <c r="C54" s="80"/>
      <c r="D54" s="80"/>
      <c r="E54" s="80"/>
      <c r="F54" s="80"/>
      <c r="G54" s="80"/>
      <c r="H54" s="80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>
      <c r="A55" s="4"/>
      <c r="B55" s="4"/>
      <c r="C55" s="80"/>
      <c r="D55" s="80"/>
      <c r="E55" s="80"/>
      <c r="F55" s="80"/>
      <c r="G55" s="80"/>
      <c r="H55" s="80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>
      <c r="A56" s="4"/>
      <c r="B56" s="4"/>
      <c r="C56" s="80"/>
      <c r="D56" s="80"/>
      <c r="E56" s="80"/>
      <c r="F56" s="80"/>
      <c r="G56" s="80"/>
      <c r="H56" s="80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>
      <c r="A57" s="4"/>
      <c r="B57" s="4"/>
      <c r="C57" s="80"/>
      <c r="D57" s="80"/>
      <c r="E57" s="80"/>
      <c r="F57" s="80"/>
      <c r="G57" s="80"/>
      <c r="H57" s="80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>
      <c r="A58" s="4"/>
      <c r="B58" s="4"/>
      <c r="C58" s="80"/>
      <c r="D58" s="80"/>
      <c r="E58" s="80"/>
      <c r="F58" s="80"/>
      <c r="G58" s="80"/>
      <c r="H58" s="80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>
      <c r="A59" s="4"/>
      <c r="B59" s="4"/>
      <c r="C59" s="80"/>
      <c r="D59" s="80"/>
      <c r="E59" s="80"/>
      <c r="F59" s="80"/>
      <c r="G59" s="80"/>
      <c r="H59" s="80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>
      <c r="A60" s="4"/>
      <c r="B60" s="4"/>
      <c r="C60" s="80"/>
      <c r="D60" s="80"/>
      <c r="E60" s="80"/>
      <c r="F60" s="80"/>
      <c r="G60" s="80"/>
      <c r="H60" s="80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>
      <c r="A61" s="4"/>
      <c r="B61" s="4"/>
      <c r="C61" s="80"/>
      <c r="D61" s="80"/>
      <c r="E61" s="80"/>
      <c r="F61" s="80"/>
      <c r="G61" s="80"/>
      <c r="H61" s="80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>
      <c r="A62" s="4"/>
      <c r="B62" s="4"/>
      <c r="C62" s="80"/>
      <c r="D62" s="80"/>
      <c r="E62" s="80"/>
      <c r="F62" s="80"/>
      <c r="G62" s="80"/>
      <c r="H62" s="80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>
      <c r="A63" s="4"/>
      <c r="B63" s="4"/>
      <c r="C63" s="80"/>
      <c r="D63" s="80"/>
      <c r="E63" s="80"/>
      <c r="F63" s="80"/>
      <c r="G63" s="80"/>
      <c r="H63" s="80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>
      <c r="A64" s="4"/>
      <c r="B64" s="4"/>
      <c r="C64" s="80"/>
      <c r="D64" s="80"/>
      <c r="E64" s="80"/>
      <c r="F64" s="80"/>
      <c r="G64" s="80"/>
      <c r="H64" s="80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4"/>
      <c r="B65" s="4"/>
      <c r="C65" s="80"/>
      <c r="D65" s="80"/>
      <c r="E65" s="80"/>
      <c r="F65" s="80"/>
      <c r="G65" s="80"/>
      <c r="H65" s="80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4"/>
      <c r="B66" s="4"/>
      <c r="C66" s="80"/>
      <c r="D66" s="80"/>
      <c r="E66" s="80"/>
      <c r="F66" s="80"/>
      <c r="G66" s="80"/>
      <c r="H66" s="80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>
      <c r="A67" s="4"/>
      <c r="B67" s="4"/>
      <c r="C67" s="80"/>
      <c r="D67" s="80"/>
      <c r="E67" s="80"/>
      <c r="F67" s="80"/>
      <c r="G67" s="80"/>
      <c r="H67" s="80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>
      <c r="A68" s="4"/>
      <c r="B68" s="4"/>
      <c r="C68" s="80"/>
      <c r="D68" s="80"/>
      <c r="E68" s="80"/>
      <c r="F68" s="80"/>
      <c r="G68" s="80"/>
      <c r="H68" s="80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>
      <c r="A69" s="4"/>
      <c r="B69" s="4"/>
      <c r="C69" s="80"/>
      <c r="D69" s="80"/>
      <c r="E69" s="80"/>
      <c r="F69" s="80"/>
      <c r="G69" s="80"/>
      <c r="H69" s="80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>
      <c r="A70" s="4"/>
      <c r="B70" s="4"/>
      <c r="C70" s="80"/>
      <c r="D70" s="80"/>
      <c r="E70" s="80"/>
      <c r="F70" s="80"/>
      <c r="G70" s="80"/>
      <c r="H70" s="80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>
      <c r="A71" s="4"/>
      <c r="B71" s="4"/>
      <c r="C71" s="80"/>
      <c r="D71" s="80"/>
      <c r="E71" s="80"/>
      <c r="F71" s="80"/>
      <c r="G71" s="80"/>
      <c r="H71" s="80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>
      <c r="A72" s="4"/>
      <c r="B72" s="4"/>
      <c r="C72" s="80"/>
      <c r="D72" s="80"/>
      <c r="E72" s="80"/>
      <c r="F72" s="80"/>
      <c r="G72" s="80"/>
      <c r="H72" s="80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>
      <c r="A73" s="4"/>
      <c r="B73" s="4"/>
      <c r="C73" s="80"/>
      <c r="D73" s="80"/>
      <c r="E73" s="80"/>
      <c r="F73" s="80"/>
      <c r="G73" s="80"/>
      <c r="H73" s="80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>
      <c r="A74" s="4"/>
      <c r="B74" s="4"/>
      <c r="C74" s="80"/>
      <c r="D74" s="80"/>
      <c r="E74" s="80"/>
      <c r="F74" s="80"/>
      <c r="G74" s="80"/>
      <c r="H74" s="80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>
      <c r="A75" s="4"/>
      <c r="B75" s="4"/>
      <c r="C75" s="80"/>
      <c r="D75" s="80"/>
      <c r="E75" s="80"/>
      <c r="F75" s="80"/>
      <c r="G75" s="80"/>
      <c r="H75" s="80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>
      <c r="A76" s="4"/>
      <c r="B76" s="4"/>
      <c r="C76" s="80"/>
      <c r="D76" s="80"/>
      <c r="E76" s="80"/>
      <c r="F76" s="80"/>
      <c r="G76" s="80"/>
      <c r="H76" s="80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>
      <c r="A77" s="4"/>
      <c r="B77" s="4"/>
      <c r="C77" s="80"/>
      <c r="D77" s="80"/>
      <c r="E77" s="80"/>
      <c r="F77" s="80"/>
      <c r="G77" s="80"/>
      <c r="H77" s="80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>
      <c r="A78" s="4"/>
      <c r="B78" s="4"/>
      <c r="C78" s="80"/>
      <c r="D78" s="80"/>
      <c r="E78" s="80"/>
      <c r="F78" s="80"/>
      <c r="G78" s="80"/>
      <c r="H78" s="80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>
      <c r="A79" s="4"/>
      <c r="B79" s="4"/>
      <c r="C79" s="80"/>
      <c r="D79" s="80"/>
      <c r="E79" s="80"/>
      <c r="F79" s="80"/>
      <c r="G79" s="80"/>
      <c r="H79" s="80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>
      <c r="A80" s="4"/>
      <c r="B80" s="4"/>
      <c r="C80" s="80"/>
      <c r="D80" s="80"/>
      <c r="E80" s="80"/>
      <c r="F80" s="80"/>
      <c r="G80" s="80"/>
      <c r="H80" s="8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4"/>
      <c r="B81" s="4"/>
      <c r="C81" s="80"/>
      <c r="D81" s="80"/>
      <c r="E81" s="80"/>
      <c r="F81" s="80"/>
      <c r="G81" s="80"/>
      <c r="H81" s="80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>
      <c r="A82" s="4"/>
      <c r="B82" s="4"/>
      <c r="C82" s="80"/>
      <c r="D82" s="80"/>
      <c r="E82" s="80"/>
      <c r="F82" s="80"/>
      <c r="G82" s="80"/>
      <c r="H82" s="80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>
      <c r="A83" s="4"/>
      <c r="B83" s="4"/>
      <c r="C83" s="80"/>
      <c r="D83" s="80"/>
      <c r="E83" s="80"/>
      <c r="F83" s="80"/>
      <c r="G83" s="80"/>
      <c r="H83" s="80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>
      <c r="A84" s="4"/>
      <c r="B84" s="4"/>
      <c r="C84" s="80"/>
      <c r="D84" s="80"/>
      <c r="E84" s="80"/>
      <c r="F84" s="80"/>
      <c r="G84" s="80"/>
      <c r="H84" s="80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>
      <c r="A85" s="4"/>
      <c r="B85" s="4"/>
      <c r="C85" s="80"/>
      <c r="D85" s="80"/>
      <c r="E85" s="80"/>
      <c r="F85" s="80"/>
      <c r="G85" s="80"/>
      <c r="H85" s="80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>
      <c r="A86" s="4"/>
      <c r="B86" s="4"/>
      <c r="C86" s="80"/>
      <c r="D86" s="80"/>
      <c r="E86" s="80"/>
      <c r="F86" s="80"/>
      <c r="G86" s="80"/>
      <c r="H86" s="80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>
      <c r="A87" s="4"/>
      <c r="B87" s="4"/>
      <c r="C87" s="80"/>
      <c r="D87" s="80"/>
      <c r="E87" s="80"/>
      <c r="F87" s="80"/>
      <c r="G87" s="80"/>
      <c r="H87" s="80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>
      <c r="A88" s="4"/>
      <c r="B88" s="4"/>
      <c r="C88" s="80"/>
      <c r="D88" s="80"/>
      <c r="E88" s="80"/>
      <c r="F88" s="80"/>
      <c r="G88" s="80"/>
      <c r="H88" s="80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>
      <c r="A89" s="4"/>
      <c r="B89" s="4"/>
      <c r="C89" s="80"/>
      <c r="D89" s="80"/>
      <c r="E89" s="80"/>
      <c r="F89" s="80"/>
      <c r="G89" s="80"/>
      <c r="H89" s="80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>
      <c r="A90" s="4"/>
      <c r="B90" s="4"/>
      <c r="C90" s="80"/>
      <c r="D90" s="80"/>
      <c r="E90" s="80"/>
      <c r="F90" s="80"/>
      <c r="G90" s="80"/>
      <c r="H90" s="80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>
      <c r="A91" s="4"/>
      <c r="B91" s="4"/>
      <c r="C91" s="80"/>
      <c r="D91" s="80"/>
      <c r="E91" s="80"/>
      <c r="F91" s="80"/>
      <c r="G91" s="80"/>
      <c r="H91" s="80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>
      <c r="A92" s="4"/>
      <c r="B92" s="4"/>
      <c r="C92" s="80"/>
      <c r="D92" s="80"/>
      <c r="E92" s="80"/>
      <c r="F92" s="80"/>
      <c r="G92" s="80"/>
      <c r="H92" s="80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>
      <c r="A93" s="4"/>
      <c r="B93" s="4"/>
      <c r="C93" s="80"/>
      <c r="D93" s="80"/>
      <c r="E93" s="80"/>
      <c r="F93" s="80"/>
      <c r="G93" s="80"/>
      <c r="H93" s="80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>
      <c r="A94" s="4"/>
      <c r="B94" s="4"/>
      <c r="C94" s="80"/>
      <c r="D94" s="80"/>
      <c r="E94" s="80"/>
      <c r="F94" s="80"/>
      <c r="G94" s="80"/>
      <c r="H94" s="80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>
      <c r="A95" s="4"/>
      <c r="B95" s="4"/>
      <c r="C95" s="80"/>
      <c r="D95" s="80"/>
      <c r="E95" s="80"/>
      <c r="F95" s="80"/>
      <c r="G95" s="80"/>
      <c r="H95" s="80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>
      <c r="A96" s="4"/>
      <c r="B96" s="4"/>
      <c r="C96" s="80"/>
      <c r="D96" s="80"/>
      <c r="E96" s="80"/>
      <c r="F96" s="80"/>
      <c r="G96" s="80"/>
      <c r="H96" s="80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>
      <c r="A97" s="4"/>
      <c r="B97" s="4"/>
      <c r="C97" s="80"/>
      <c r="D97" s="80"/>
      <c r="E97" s="80"/>
      <c r="F97" s="80"/>
      <c r="G97" s="80"/>
      <c r="H97" s="80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>
      <c r="A98" s="4"/>
      <c r="B98" s="4"/>
      <c r="C98" s="80"/>
      <c r="D98" s="80"/>
      <c r="E98" s="80"/>
      <c r="F98" s="80"/>
      <c r="G98" s="80"/>
      <c r="H98" s="80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>
      <c r="A99" s="4"/>
      <c r="B99" s="4"/>
      <c r="C99" s="80"/>
      <c r="D99" s="80"/>
      <c r="E99" s="80"/>
      <c r="F99" s="80"/>
      <c r="G99" s="80"/>
      <c r="H99" s="80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>
      <c r="A100" s="4"/>
      <c r="B100" s="4"/>
      <c r="C100" s="80"/>
      <c r="D100" s="80"/>
      <c r="E100" s="80"/>
      <c r="F100" s="80"/>
      <c r="G100" s="80"/>
      <c r="H100" s="80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>
      <c r="A101" s="4"/>
      <c r="B101" s="4"/>
      <c r="C101" s="80"/>
      <c r="D101" s="80"/>
      <c r="E101" s="80"/>
      <c r="F101" s="80"/>
      <c r="G101" s="80"/>
      <c r="H101" s="8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>
      <c r="A102" s="4"/>
      <c r="B102" s="4"/>
      <c r="C102" s="80"/>
      <c r="D102" s="80"/>
      <c r="E102" s="80"/>
      <c r="F102" s="80"/>
      <c r="G102" s="80"/>
      <c r="H102" s="8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>
      <c r="A103" s="4"/>
      <c r="B103" s="4"/>
      <c r="C103" s="80"/>
      <c r="D103" s="80"/>
      <c r="E103" s="80"/>
      <c r="F103" s="80"/>
      <c r="G103" s="80"/>
      <c r="H103" s="8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>
      <c r="A104" s="4"/>
      <c r="B104" s="4"/>
      <c r="C104" s="80"/>
      <c r="D104" s="80"/>
      <c r="E104" s="80"/>
      <c r="F104" s="80"/>
      <c r="G104" s="80"/>
      <c r="H104" s="80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>
      <c r="A105" s="4"/>
      <c r="B105" s="4"/>
      <c r="C105" s="80"/>
      <c r="D105" s="80"/>
      <c r="E105" s="80"/>
      <c r="F105" s="80"/>
      <c r="G105" s="80"/>
      <c r="H105" s="80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>
      <c r="A106" s="4"/>
      <c r="B106" s="4"/>
      <c r="C106" s="80"/>
      <c r="D106" s="80"/>
      <c r="E106" s="80"/>
      <c r="F106" s="80"/>
      <c r="G106" s="80"/>
      <c r="H106" s="80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>
      <c r="A107" s="4"/>
      <c r="B107" s="4"/>
      <c r="C107" s="80"/>
      <c r="D107" s="80"/>
      <c r="E107" s="80"/>
      <c r="F107" s="80"/>
      <c r="G107" s="80"/>
      <c r="H107" s="8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>
      <c r="A108" s="4"/>
      <c r="B108" s="4"/>
      <c r="C108" s="80"/>
      <c r="D108" s="80"/>
      <c r="E108" s="80"/>
      <c r="F108" s="80"/>
      <c r="G108" s="80"/>
      <c r="H108" s="8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>
      <c r="A109" s="4"/>
      <c r="B109" s="4"/>
      <c r="C109" s="80"/>
      <c r="D109" s="80"/>
      <c r="E109" s="80"/>
      <c r="F109" s="80"/>
      <c r="G109" s="80"/>
      <c r="H109" s="8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>
      <c r="A110" s="4"/>
      <c r="B110" s="4"/>
      <c r="C110" s="80"/>
      <c r="D110" s="80"/>
      <c r="E110" s="80"/>
      <c r="F110" s="80"/>
      <c r="G110" s="80"/>
      <c r="H110" s="8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>
      <c r="A111" s="4"/>
      <c r="B111" s="4"/>
      <c r="C111" s="80"/>
      <c r="D111" s="80"/>
      <c r="E111" s="80"/>
      <c r="F111" s="80"/>
      <c r="G111" s="80"/>
      <c r="H111" s="8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>
      <c r="A112" s="4"/>
      <c r="B112" s="4"/>
      <c r="C112" s="80"/>
      <c r="D112" s="80"/>
      <c r="E112" s="80"/>
      <c r="F112" s="80"/>
      <c r="G112" s="80"/>
      <c r="H112" s="80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>
      <c r="A113" s="4"/>
      <c r="B113" s="4"/>
      <c r="C113" s="80"/>
      <c r="D113" s="80"/>
      <c r="E113" s="80"/>
      <c r="F113" s="80"/>
      <c r="G113" s="80"/>
      <c r="H113" s="8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>
      <c r="A114" s="4"/>
      <c r="B114" s="4"/>
      <c r="C114" s="80"/>
      <c r="D114" s="80"/>
      <c r="E114" s="80"/>
      <c r="F114" s="80"/>
      <c r="G114" s="80"/>
      <c r="H114" s="8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>
      <c r="A115" s="4"/>
      <c r="B115" s="4"/>
      <c r="C115" s="80"/>
      <c r="D115" s="80"/>
      <c r="E115" s="80"/>
      <c r="F115" s="80"/>
      <c r="G115" s="80"/>
      <c r="H115" s="8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>
      <c r="A116" s="4"/>
      <c r="B116" s="4"/>
      <c r="C116" s="80"/>
      <c r="D116" s="80"/>
      <c r="E116" s="80"/>
      <c r="F116" s="80"/>
      <c r="G116" s="80"/>
      <c r="H116" s="8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>
      <c r="A117" s="4"/>
      <c r="B117" s="4"/>
      <c r="C117" s="80"/>
      <c r="D117" s="80"/>
      <c r="E117" s="80"/>
      <c r="F117" s="80"/>
      <c r="G117" s="80"/>
      <c r="H117" s="8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>
      <c r="A118" s="4"/>
      <c r="B118" s="4"/>
      <c r="C118" s="80"/>
      <c r="D118" s="80"/>
      <c r="E118" s="80"/>
      <c r="F118" s="80"/>
      <c r="G118" s="80"/>
      <c r="H118" s="8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>
      <c r="A119" s="4"/>
      <c r="B119" s="4"/>
      <c r="C119" s="80"/>
      <c r="D119" s="80"/>
      <c r="E119" s="80"/>
      <c r="F119" s="80"/>
      <c r="G119" s="80"/>
      <c r="H119" s="8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>
      <c r="A120" s="4"/>
      <c r="B120" s="4"/>
      <c r="C120" s="80"/>
      <c r="D120" s="80"/>
      <c r="E120" s="80"/>
      <c r="F120" s="80"/>
      <c r="G120" s="80"/>
      <c r="H120" s="8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>
      <c r="A121" s="4"/>
      <c r="B121" s="4"/>
      <c r="C121" s="80"/>
      <c r="D121" s="80"/>
      <c r="E121" s="80"/>
      <c r="F121" s="80"/>
      <c r="G121" s="80"/>
      <c r="H121" s="8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>
      <c r="A122" s="4"/>
      <c r="B122" s="4"/>
      <c r="C122" s="80"/>
      <c r="D122" s="80"/>
      <c r="E122" s="80"/>
      <c r="F122" s="80"/>
      <c r="G122" s="80"/>
      <c r="H122" s="8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>
      <c r="A123" s="4"/>
      <c r="B123" s="4"/>
      <c r="C123" s="80"/>
      <c r="D123" s="80"/>
      <c r="E123" s="80"/>
      <c r="F123" s="80"/>
      <c r="G123" s="80"/>
      <c r="H123" s="8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>
      <c r="A124" s="4"/>
      <c r="B124" s="4"/>
      <c r="C124" s="80"/>
      <c r="D124" s="80"/>
      <c r="E124" s="80"/>
      <c r="F124" s="80"/>
      <c r="G124" s="80"/>
      <c r="H124" s="8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>
      <c r="A125" s="4"/>
      <c r="B125" s="4"/>
      <c r="C125" s="80"/>
      <c r="D125" s="80"/>
      <c r="E125" s="80"/>
      <c r="F125" s="80"/>
      <c r="G125" s="80"/>
      <c r="H125" s="8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>
      <c r="A126" s="4"/>
      <c r="B126" s="4"/>
      <c r="C126" s="80"/>
      <c r="D126" s="80"/>
      <c r="E126" s="80"/>
      <c r="F126" s="80"/>
      <c r="G126" s="80"/>
      <c r="H126" s="8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>
      <c r="A127" s="4"/>
      <c r="B127" s="4"/>
      <c r="C127" s="80"/>
      <c r="D127" s="80"/>
      <c r="E127" s="80"/>
      <c r="F127" s="80"/>
      <c r="G127" s="80"/>
      <c r="H127" s="8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>
      <c r="A128" s="4"/>
      <c r="B128" s="4"/>
      <c r="C128" s="80"/>
      <c r="D128" s="80"/>
      <c r="E128" s="80"/>
      <c r="F128" s="80"/>
      <c r="G128" s="80"/>
      <c r="H128" s="8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>
      <c r="A129" s="4"/>
      <c r="B129" s="4"/>
      <c r="C129" s="80"/>
      <c r="D129" s="80"/>
      <c r="E129" s="80"/>
      <c r="F129" s="80"/>
      <c r="G129" s="80"/>
      <c r="H129" s="8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>
      <c r="A130" s="4"/>
      <c r="B130" s="4"/>
      <c r="C130" s="80"/>
      <c r="D130" s="80"/>
      <c r="E130" s="80"/>
      <c r="F130" s="80"/>
      <c r="G130" s="80"/>
      <c r="H130" s="8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>
      <c r="A131" s="4"/>
      <c r="B131" s="4"/>
      <c r="C131" s="80"/>
      <c r="D131" s="80"/>
      <c r="E131" s="80"/>
      <c r="F131" s="80"/>
      <c r="G131" s="80"/>
      <c r="H131" s="8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>
      <c r="A132" s="4"/>
      <c r="B132" s="4"/>
      <c r="C132" s="80"/>
      <c r="D132" s="80"/>
      <c r="E132" s="80"/>
      <c r="F132" s="80"/>
      <c r="G132" s="80"/>
      <c r="H132" s="8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>
      <c r="A133" s="4"/>
      <c r="B133" s="4"/>
      <c r="C133" s="80"/>
      <c r="D133" s="80"/>
      <c r="E133" s="80"/>
      <c r="F133" s="80"/>
      <c r="G133" s="80"/>
      <c r="H133" s="80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>
      <c r="A134" s="4"/>
      <c r="B134" s="4"/>
      <c r="C134" s="80"/>
      <c r="D134" s="80"/>
      <c r="E134" s="80"/>
      <c r="F134" s="80"/>
      <c r="G134" s="80"/>
      <c r="H134" s="8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>
      <c r="A135" s="4"/>
      <c r="B135" s="4"/>
      <c r="C135" s="80"/>
      <c r="D135" s="80"/>
      <c r="E135" s="80"/>
      <c r="F135" s="80"/>
      <c r="G135" s="80"/>
      <c r="H135" s="8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>
      <c r="A136" s="4"/>
      <c r="B136" s="4"/>
      <c r="C136" s="80"/>
      <c r="D136" s="80"/>
      <c r="E136" s="80"/>
      <c r="F136" s="80"/>
      <c r="G136" s="80"/>
      <c r="H136" s="80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>
      <c r="A137" s="4"/>
      <c r="B137" s="4"/>
      <c r="C137" s="80"/>
      <c r="D137" s="80"/>
      <c r="E137" s="80"/>
      <c r="F137" s="80"/>
      <c r="G137" s="80"/>
      <c r="H137" s="8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>
      <c r="A138" s="4"/>
      <c r="B138" s="4"/>
      <c r="C138" s="80"/>
      <c r="D138" s="80"/>
      <c r="E138" s="80"/>
      <c r="F138" s="80"/>
      <c r="G138" s="80"/>
      <c r="H138" s="8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>
      <c r="A139" s="4"/>
      <c r="B139" s="4"/>
      <c r="C139" s="80"/>
      <c r="D139" s="80"/>
      <c r="E139" s="80"/>
      <c r="F139" s="80"/>
      <c r="G139" s="80"/>
      <c r="H139" s="8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>
      <c r="A140" s="4"/>
      <c r="B140" s="4"/>
      <c r="C140" s="80"/>
      <c r="D140" s="80"/>
      <c r="E140" s="80"/>
      <c r="F140" s="80"/>
      <c r="G140" s="80"/>
      <c r="H140" s="80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>
      <c r="A141" s="4"/>
      <c r="B141" s="4"/>
      <c r="C141" s="80"/>
      <c r="D141" s="80"/>
      <c r="E141" s="80"/>
      <c r="F141" s="80"/>
      <c r="G141" s="80"/>
      <c r="H141" s="80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>
      <c r="A142" s="4"/>
      <c r="B142" s="4"/>
      <c r="C142" s="80"/>
      <c r="D142" s="80"/>
      <c r="E142" s="80"/>
      <c r="F142" s="80"/>
      <c r="G142" s="80"/>
      <c r="H142" s="80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>
      <c r="A143" s="4"/>
      <c r="B143" s="4"/>
      <c r="C143" s="80"/>
      <c r="D143" s="80"/>
      <c r="E143" s="80"/>
      <c r="F143" s="80"/>
      <c r="G143" s="80"/>
      <c r="H143" s="80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>
      <c r="A144" s="4"/>
      <c r="B144" s="4"/>
      <c r="C144" s="80"/>
      <c r="D144" s="80"/>
      <c r="E144" s="80"/>
      <c r="F144" s="80"/>
      <c r="G144" s="80"/>
      <c r="H144" s="80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>
      <c r="A145" s="4"/>
      <c r="B145" s="4"/>
      <c r="C145" s="80"/>
      <c r="D145" s="80"/>
      <c r="E145" s="80"/>
      <c r="F145" s="80"/>
      <c r="G145" s="80"/>
      <c r="H145" s="8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>
      <c r="A146" s="4"/>
      <c r="B146" s="4"/>
      <c r="C146" s="80"/>
      <c r="D146" s="80"/>
      <c r="E146" s="80"/>
      <c r="F146" s="80"/>
      <c r="G146" s="80"/>
      <c r="H146" s="80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>
      <c r="A147" s="4"/>
      <c r="B147" s="4"/>
      <c r="C147" s="80"/>
      <c r="D147" s="80"/>
      <c r="E147" s="80"/>
      <c r="F147" s="80"/>
      <c r="G147" s="80"/>
      <c r="H147" s="80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>
      <c r="A148" s="4"/>
      <c r="B148" s="4"/>
      <c r="C148" s="80"/>
      <c r="D148" s="80"/>
      <c r="E148" s="80"/>
      <c r="F148" s="80"/>
      <c r="G148" s="80"/>
      <c r="H148" s="80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>
      <c r="A149" s="4"/>
      <c r="B149" s="4"/>
      <c r="C149" s="80"/>
      <c r="D149" s="80"/>
      <c r="E149" s="80"/>
      <c r="F149" s="80"/>
      <c r="G149" s="80"/>
      <c r="H149" s="80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>
      <c r="A150" s="4"/>
      <c r="B150" s="4"/>
      <c r="C150" s="80"/>
      <c r="D150" s="80"/>
      <c r="E150" s="80"/>
      <c r="F150" s="80"/>
      <c r="G150" s="80"/>
      <c r="H150" s="80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>
      <c r="A151" s="4"/>
      <c r="B151" s="4"/>
      <c r="C151" s="80"/>
      <c r="D151" s="80"/>
      <c r="E151" s="80"/>
      <c r="F151" s="80"/>
      <c r="G151" s="80"/>
      <c r="H151" s="80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>
      <c r="A152" s="4"/>
      <c r="B152" s="4"/>
      <c r="C152" s="80"/>
      <c r="D152" s="80"/>
      <c r="E152" s="80"/>
      <c r="F152" s="80"/>
      <c r="G152" s="80"/>
      <c r="H152" s="8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>
      <c r="A153" s="4"/>
      <c r="B153" s="4"/>
      <c r="C153" s="80"/>
      <c r="D153" s="80"/>
      <c r="E153" s="80"/>
      <c r="F153" s="80"/>
      <c r="G153" s="80"/>
      <c r="H153" s="8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>
      <c r="A154" s="4"/>
      <c r="B154" s="4"/>
      <c r="C154" s="80"/>
      <c r="D154" s="80"/>
      <c r="E154" s="80"/>
      <c r="F154" s="80"/>
      <c r="G154" s="80"/>
      <c r="H154" s="80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>
      <c r="A155" s="4"/>
      <c r="B155" s="4"/>
      <c r="C155" s="80"/>
      <c r="D155" s="80"/>
      <c r="E155" s="80"/>
      <c r="F155" s="80"/>
      <c r="G155" s="80"/>
      <c r="H155" s="80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>
      <c r="A156" s="4"/>
      <c r="B156" s="4"/>
      <c r="C156" s="80"/>
      <c r="D156" s="80"/>
      <c r="E156" s="80"/>
      <c r="F156" s="80"/>
      <c r="G156" s="80"/>
      <c r="H156" s="8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>
      <c r="A157" s="4"/>
      <c r="B157" s="4"/>
      <c r="C157" s="80"/>
      <c r="D157" s="80"/>
      <c r="E157" s="80"/>
      <c r="F157" s="80"/>
      <c r="G157" s="80"/>
      <c r="H157" s="80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>
      <c r="A158" s="4"/>
      <c r="B158" s="4"/>
      <c r="C158" s="80"/>
      <c r="D158" s="80"/>
      <c r="E158" s="80"/>
      <c r="F158" s="80"/>
      <c r="G158" s="80"/>
      <c r="H158" s="80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>
      <c r="A159" s="4"/>
      <c r="B159" s="4"/>
      <c r="C159" s="80"/>
      <c r="D159" s="80"/>
      <c r="E159" s="80"/>
      <c r="F159" s="80"/>
      <c r="G159" s="80"/>
      <c r="H159" s="80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>
      <c r="A160" s="4"/>
      <c r="B160" s="4"/>
      <c r="C160" s="80"/>
      <c r="D160" s="80"/>
      <c r="E160" s="80"/>
      <c r="F160" s="80"/>
      <c r="G160" s="80"/>
      <c r="H160" s="8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>
      <c r="A161" s="4"/>
      <c r="B161" s="4"/>
      <c r="C161" s="80"/>
      <c r="D161" s="80"/>
      <c r="E161" s="80"/>
      <c r="F161" s="80"/>
      <c r="G161" s="80"/>
      <c r="H161" s="8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>
      <c r="A162" s="4"/>
      <c r="B162" s="4"/>
      <c r="C162" s="80"/>
      <c r="D162" s="80"/>
      <c r="E162" s="80"/>
      <c r="F162" s="80"/>
      <c r="G162" s="80"/>
      <c r="H162" s="80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>
      <c r="A163" s="4"/>
      <c r="B163" s="4"/>
      <c r="C163" s="80"/>
      <c r="D163" s="80"/>
      <c r="E163" s="80"/>
      <c r="F163" s="80"/>
      <c r="G163" s="80"/>
      <c r="H163" s="80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>
      <c r="A164" s="4"/>
      <c r="B164" s="4"/>
      <c r="C164" s="80"/>
      <c r="D164" s="80"/>
      <c r="E164" s="80"/>
      <c r="F164" s="80"/>
      <c r="G164" s="80"/>
      <c r="H164" s="80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>
      <c r="A165" s="4"/>
      <c r="B165" s="4"/>
      <c r="C165" s="80"/>
      <c r="D165" s="80"/>
      <c r="E165" s="80"/>
      <c r="F165" s="80"/>
      <c r="G165" s="80"/>
      <c r="H165" s="80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>
      <c r="A166" s="4"/>
      <c r="B166" s="4"/>
      <c r="C166" s="80"/>
      <c r="D166" s="80"/>
      <c r="E166" s="80"/>
      <c r="F166" s="80"/>
      <c r="G166" s="80"/>
      <c r="H166" s="80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>
      <c r="A167" s="4"/>
      <c r="B167" s="4"/>
      <c r="C167" s="80"/>
      <c r="D167" s="80"/>
      <c r="E167" s="80"/>
      <c r="F167" s="80"/>
      <c r="G167" s="80"/>
      <c r="H167" s="8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>
      <c r="A168" s="4"/>
      <c r="B168" s="4"/>
      <c r="C168" s="80"/>
      <c r="D168" s="80"/>
      <c r="E168" s="80"/>
      <c r="F168" s="80"/>
      <c r="G168" s="80"/>
      <c r="H168" s="80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>
      <c r="A169" s="4"/>
      <c r="B169" s="4"/>
      <c r="C169" s="80"/>
      <c r="D169" s="80"/>
      <c r="E169" s="80"/>
      <c r="F169" s="80"/>
      <c r="G169" s="80"/>
      <c r="H169" s="80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>
      <c r="A170" s="4"/>
      <c r="B170" s="4"/>
      <c r="C170" s="80"/>
      <c r="D170" s="80"/>
      <c r="E170" s="80"/>
      <c r="F170" s="80"/>
      <c r="G170" s="80"/>
      <c r="H170" s="80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>
      <c r="A171" s="4"/>
      <c r="B171" s="4"/>
      <c r="C171" s="80"/>
      <c r="D171" s="80"/>
      <c r="E171" s="80"/>
      <c r="F171" s="80"/>
      <c r="G171" s="80"/>
      <c r="H171" s="80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>
      <c r="A172" s="4"/>
      <c r="B172" s="4"/>
      <c r="C172" s="80"/>
      <c r="D172" s="80"/>
      <c r="E172" s="80"/>
      <c r="F172" s="80"/>
      <c r="G172" s="80"/>
      <c r="H172" s="80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>
      <c r="A173" s="4"/>
      <c r="B173" s="4"/>
      <c r="C173" s="80"/>
      <c r="D173" s="80"/>
      <c r="E173" s="80"/>
      <c r="F173" s="80"/>
      <c r="G173" s="80"/>
      <c r="H173" s="80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>
      <c r="A174" s="4"/>
      <c r="B174" s="4"/>
      <c r="C174" s="80"/>
      <c r="D174" s="80"/>
      <c r="E174" s="80"/>
      <c r="F174" s="80"/>
      <c r="G174" s="80"/>
      <c r="H174" s="8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>
      <c r="A175" s="4"/>
      <c r="B175" s="4"/>
      <c r="C175" s="80"/>
      <c r="D175" s="80"/>
      <c r="E175" s="80"/>
      <c r="F175" s="80"/>
      <c r="G175" s="80"/>
      <c r="H175" s="8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>
      <c r="A176" s="4"/>
      <c r="B176" s="4"/>
      <c r="C176" s="80"/>
      <c r="D176" s="80"/>
      <c r="E176" s="80"/>
      <c r="F176" s="80"/>
      <c r="G176" s="80"/>
      <c r="H176" s="80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>
      <c r="A177" s="4"/>
      <c r="B177" s="4"/>
      <c r="C177" s="80"/>
      <c r="D177" s="80"/>
      <c r="E177" s="80"/>
      <c r="F177" s="80"/>
      <c r="G177" s="80"/>
      <c r="H177" s="80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>
      <c r="A178" s="4"/>
      <c r="B178" s="4"/>
      <c r="C178" s="80"/>
      <c r="D178" s="80"/>
      <c r="E178" s="80"/>
      <c r="F178" s="80"/>
      <c r="G178" s="80"/>
      <c r="H178" s="80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>
      <c r="A179" s="4"/>
      <c r="B179" s="4"/>
      <c r="C179" s="80"/>
      <c r="D179" s="80"/>
      <c r="E179" s="80"/>
      <c r="F179" s="80"/>
      <c r="G179" s="80"/>
      <c r="H179" s="80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>
      <c r="A180" s="4"/>
      <c r="B180" s="4"/>
      <c r="C180" s="80"/>
      <c r="D180" s="80"/>
      <c r="E180" s="80"/>
      <c r="F180" s="80"/>
      <c r="G180" s="80"/>
      <c r="H180" s="80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>
      <c r="A181" s="4"/>
      <c r="B181" s="4"/>
      <c r="C181" s="80"/>
      <c r="D181" s="80"/>
      <c r="E181" s="80"/>
      <c r="F181" s="80"/>
      <c r="G181" s="80"/>
      <c r="H181" s="8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>
      <c r="A182" s="4"/>
      <c r="B182" s="4"/>
      <c r="C182" s="80"/>
      <c r="D182" s="80"/>
      <c r="E182" s="80"/>
      <c r="F182" s="80"/>
      <c r="G182" s="80"/>
      <c r="H182" s="80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>
      <c r="A183" s="4"/>
      <c r="B183" s="4"/>
      <c r="C183" s="80"/>
      <c r="D183" s="80"/>
      <c r="E183" s="80"/>
      <c r="F183" s="80"/>
      <c r="G183" s="80"/>
      <c r="H183" s="80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>
      <c r="A184" s="4"/>
      <c r="B184" s="4"/>
      <c r="C184" s="80"/>
      <c r="D184" s="80"/>
      <c r="E184" s="80"/>
      <c r="F184" s="80"/>
      <c r="G184" s="80"/>
      <c r="H184" s="80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>
      <c r="A185" s="4"/>
      <c r="B185" s="4"/>
      <c r="C185" s="80"/>
      <c r="D185" s="80"/>
      <c r="E185" s="80"/>
      <c r="F185" s="80"/>
      <c r="G185" s="80"/>
      <c r="H185" s="80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>
      <c r="A186" s="4"/>
      <c r="B186" s="4"/>
      <c r="C186" s="80"/>
      <c r="D186" s="80"/>
      <c r="E186" s="80"/>
      <c r="F186" s="80"/>
      <c r="G186" s="80"/>
      <c r="H186" s="80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>
      <c r="A187" s="4"/>
      <c r="B187" s="4"/>
      <c r="C187" s="80"/>
      <c r="D187" s="80"/>
      <c r="E187" s="80"/>
      <c r="F187" s="80"/>
      <c r="G187" s="80"/>
      <c r="H187" s="80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>
      <c r="A188" s="4"/>
      <c r="B188" s="4"/>
      <c r="C188" s="80"/>
      <c r="D188" s="80"/>
      <c r="E188" s="80"/>
      <c r="F188" s="80"/>
      <c r="G188" s="80"/>
      <c r="H188" s="8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>
      <c r="A189" s="4"/>
      <c r="B189" s="4"/>
      <c r="C189" s="80"/>
      <c r="D189" s="80"/>
      <c r="E189" s="80"/>
      <c r="F189" s="80"/>
      <c r="G189" s="80"/>
      <c r="H189" s="8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>
      <c r="A190" s="4"/>
      <c r="B190" s="4"/>
      <c r="C190" s="80"/>
      <c r="D190" s="80"/>
      <c r="E190" s="80"/>
      <c r="F190" s="80"/>
      <c r="G190" s="80"/>
      <c r="H190" s="8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>
      <c r="A191" s="4"/>
      <c r="B191" s="4"/>
      <c r="C191" s="80"/>
      <c r="D191" s="80"/>
      <c r="E191" s="80"/>
      <c r="F191" s="80"/>
      <c r="G191" s="80"/>
      <c r="H191" s="8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>
      <c r="A192" s="4"/>
      <c r="B192" s="4"/>
      <c r="C192" s="80"/>
      <c r="D192" s="80"/>
      <c r="E192" s="80"/>
      <c r="F192" s="80"/>
      <c r="G192" s="80"/>
      <c r="H192" s="8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>
      <c r="A193" s="4"/>
      <c r="B193" s="4"/>
      <c r="C193" s="80"/>
      <c r="D193" s="80"/>
      <c r="E193" s="80"/>
      <c r="F193" s="80"/>
      <c r="G193" s="80"/>
      <c r="H193" s="8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>
      <c r="A194" s="4"/>
      <c r="B194" s="4"/>
      <c r="C194" s="80"/>
      <c r="D194" s="80"/>
      <c r="E194" s="80"/>
      <c r="F194" s="80"/>
      <c r="G194" s="80"/>
      <c r="H194" s="8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>
      <c r="A195" s="4"/>
      <c r="B195" s="4"/>
      <c r="C195" s="80"/>
      <c r="D195" s="80"/>
      <c r="E195" s="80"/>
      <c r="F195" s="80"/>
      <c r="G195" s="80"/>
      <c r="H195" s="8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>
      <c r="A196" s="4"/>
      <c r="B196" s="4"/>
      <c r="C196" s="80"/>
      <c r="D196" s="80"/>
      <c r="E196" s="80"/>
      <c r="F196" s="80"/>
      <c r="G196" s="80"/>
      <c r="H196" s="8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>
      <c r="A197" s="4"/>
      <c r="B197" s="4"/>
      <c r="C197" s="80"/>
      <c r="D197" s="80"/>
      <c r="E197" s="80"/>
      <c r="F197" s="80"/>
      <c r="G197" s="80"/>
      <c r="H197" s="8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>
      <c r="A198" s="4"/>
      <c r="B198" s="4"/>
      <c r="C198" s="80"/>
      <c r="D198" s="80"/>
      <c r="E198" s="80"/>
      <c r="F198" s="80"/>
      <c r="G198" s="80"/>
      <c r="H198" s="8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>
      <c r="A199" s="4"/>
      <c r="B199" s="4"/>
      <c r="C199" s="80"/>
      <c r="D199" s="80"/>
      <c r="E199" s="80"/>
      <c r="F199" s="80"/>
      <c r="G199" s="80"/>
      <c r="H199" s="80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>
      <c r="A200" s="4"/>
      <c r="B200" s="4"/>
      <c r="C200" s="80"/>
      <c r="D200" s="80"/>
      <c r="E200" s="80"/>
      <c r="F200" s="80"/>
      <c r="G200" s="80"/>
      <c r="H200" s="80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>
      <c r="A201" s="4"/>
      <c r="B201" s="4"/>
      <c r="C201" s="80"/>
      <c r="D201" s="80"/>
      <c r="E201" s="80"/>
      <c r="F201" s="80"/>
      <c r="G201" s="80"/>
      <c r="H201" s="8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80"/>
      <c r="D202" s="80"/>
      <c r="E202" s="80"/>
      <c r="F202" s="80"/>
      <c r="G202" s="80"/>
      <c r="H202" s="8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80"/>
      <c r="D203" s="80"/>
      <c r="E203" s="80"/>
      <c r="F203" s="80"/>
      <c r="G203" s="80"/>
      <c r="H203" s="8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80"/>
      <c r="D204" s="80"/>
      <c r="E204" s="80"/>
      <c r="F204" s="80"/>
      <c r="G204" s="80"/>
      <c r="H204" s="8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80"/>
      <c r="D205" s="80"/>
      <c r="E205" s="80"/>
      <c r="F205" s="80"/>
      <c r="G205" s="80"/>
      <c r="H205" s="8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80"/>
      <c r="D206" s="80"/>
      <c r="E206" s="80"/>
      <c r="F206" s="80"/>
      <c r="G206" s="80"/>
      <c r="H206" s="8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80"/>
      <c r="D207" s="80"/>
      <c r="E207" s="80"/>
      <c r="F207" s="80"/>
      <c r="G207" s="80"/>
      <c r="H207" s="8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80"/>
      <c r="D208" s="80"/>
      <c r="E208" s="80"/>
      <c r="F208" s="80"/>
      <c r="G208" s="80"/>
      <c r="H208" s="8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80"/>
      <c r="D209" s="80"/>
      <c r="E209" s="80"/>
      <c r="F209" s="80"/>
      <c r="G209" s="80"/>
      <c r="H209" s="8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80"/>
      <c r="D210" s="80"/>
      <c r="E210" s="80"/>
      <c r="F210" s="80"/>
      <c r="G210" s="80"/>
      <c r="H210" s="8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80"/>
      <c r="D211" s="80"/>
      <c r="E211" s="80"/>
      <c r="F211" s="80"/>
      <c r="G211" s="80"/>
      <c r="H211" s="8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80"/>
      <c r="D212" s="80"/>
      <c r="E212" s="80"/>
      <c r="F212" s="80"/>
      <c r="G212" s="80"/>
      <c r="H212" s="8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80"/>
      <c r="D213" s="80"/>
      <c r="E213" s="80"/>
      <c r="F213" s="80"/>
      <c r="G213" s="80"/>
      <c r="H213" s="8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80"/>
      <c r="D214" s="80"/>
      <c r="E214" s="80"/>
      <c r="F214" s="80"/>
      <c r="G214" s="80"/>
      <c r="H214" s="8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80"/>
      <c r="D215" s="80"/>
      <c r="E215" s="80"/>
      <c r="F215" s="80"/>
      <c r="G215" s="80"/>
      <c r="H215" s="8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80"/>
      <c r="D216" s="80"/>
      <c r="E216" s="80"/>
      <c r="F216" s="80"/>
      <c r="G216" s="80"/>
      <c r="H216" s="8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80"/>
      <c r="D217" s="80"/>
      <c r="E217" s="80"/>
      <c r="F217" s="80"/>
      <c r="G217" s="80"/>
      <c r="H217" s="8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80"/>
      <c r="D218" s="80"/>
      <c r="E218" s="80"/>
      <c r="F218" s="80"/>
      <c r="G218" s="80"/>
      <c r="H218" s="8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80"/>
      <c r="D219" s="80"/>
      <c r="E219" s="80"/>
      <c r="F219" s="80"/>
      <c r="G219" s="80"/>
      <c r="H219" s="8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80"/>
      <c r="D220" s="80"/>
      <c r="E220" s="80"/>
      <c r="F220" s="80"/>
      <c r="G220" s="80"/>
      <c r="H220" s="8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80"/>
      <c r="D221" s="80"/>
      <c r="E221" s="80"/>
      <c r="F221" s="80"/>
      <c r="G221" s="80"/>
      <c r="H221" s="8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80"/>
      <c r="D222" s="80"/>
      <c r="E222" s="80"/>
      <c r="F222" s="80"/>
      <c r="G222" s="80"/>
      <c r="H222" s="8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80"/>
      <c r="D223" s="80"/>
      <c r="E223" s="80"/>
      <c r="F223" s="80"/>
      <c r="G223" s="80"/>
      <c r="H223" s="8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80"/>
      <c r="D224" s="80"/>
      <c r="E224" s="80"/>
      <c r="F224" s="80"/>
      <c r="G224" s="80"/>
      <c r="H224" s="8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80"/>
      <c r="D225" s="80"/>
      <c r="E225" s="80"/>
      <c r="F225" s="80"/>
      <c r="G225" s="80"/>
      <c r="H225" s="8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80"/>
      <c r="D226" s="80"/>
      <c r="E226" s="80"/>
      <c r="F226" s="80"/>
      <c r="G226" s="80"/>
      <c r="H226" s="8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80"/>
      <c r="D227" s="80"/>
      <c r="E227" s="80"/>
      <c r="F227" s="80"/>
      <c r="G227" s="80"/>
      <c r="H227" s="8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80"/>
      <c r="D228" s="80"/>
      <c r="E228" s="80"/>
      <c r="F228" s="80"/>
      <c r="G228" s="80"/>
      <c r="H228" s="8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80"/>
      <c r="D229" s="80"/>
      <c r="E229" s="80"/>
      <c r="F229" s="80"/>
      <c r="G229" s="80"/>
      <c r="H229" s="8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80"/>
      <c r="D230" s="80"/>
      <c r="E230" s="80"/>
      <c r="F230" s="80"/>
      <c r="G230" s="80"/>
      <c r="H230" s="8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80"/>
      <c r="D231" s="80"/>
      <c r="E231" s="80"/>
      <c r="F231" s="80"/>
      <c r="G231" s="80"/>
      <c r="H231" s="8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80"/>
      <c r="D232" s="80"/>
      <c r="E232" s="80"/>
      <c r="F232" s="80"/>
      <c r="G232" s="80"/>
      <c r="H232" s="8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80"/>
      <c r="D233" s="80"/>
      <c r="E233" s="80"/>
      <c r="F233" s="80"/>
      <c r="G233" s="80"/>
      <c r="H233" s="8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80"/>
      <c r="D234" s="80"/>
      <c r="E234" s="80"/>
      <c r="F234" s="80"/>
      <c r="G234" s="80"/>
      <c r="H234" s="8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80"/>
      <c r="D235" s="80"/>
      <c r="E235" s="80"/>
      <c r="F235" s="80"/>
      <c r="G235" s="80"/>
      <c r="H235" s="80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80"/>
      <c r="D236" s="80"/>
      <c r="E236" s="80"/>
      <c r="F236" s="80"/>
      <c r="G236" s="80"/>
      <c r="H236" s="80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80"/>
      <c r="D237" s="80"/>
      <c r="E237" s="80"/>
      <c r="F237" s="80"/>
      <c r="G237" s="80"/>
      <c r="H237" s="80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80"/>
      <c r="D238" s="80"/>
      <c r="E238" s="80"/>
      <c r="F238" s="80"/>
      <c r="G238" s="80"/>
      <c r="H238" s="80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80"/>
      <c r="D239" s="80"/>
      <c r="E239" s="80"/>
      <c r="F239" s="80"/>
      <c r="G239" s="80"/>
      <c r="H239" s="80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80"/>
      <c r="D240" s="80"/>
      <c r="E240" s="80"/>
      <c r="F240" s="80"/>
      <c r="G240" s="80"/>
      <c r="H240" s="80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80"/>
      <c r="D241" s="80"/>
      <c r="E241" s="80"/>
      <c r="F241" s="80"/>
      <c r="G241" s="80"/>
      <c r="H241" s="80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80"/>
      <c r="D242" s="80"/>
      <c r="E242" s="80"/>
      <c r="F242" s="80"/>
      <c r="G242" s="80"/>
      <c r="H242" s="80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80"/>
      <c r="D243" s="80"/>
      <c r="E243" s="80"/>
      <c r="F243" s="80"/>
      <c r="G243" s="80"/>
      <c r="H243" s="80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80"/>
      <c r="D244" s="80"/>
      <c r="E244" s="80"/>
      <c r="F244" s="80"/>
      <c r="G244" s="80"/>
      <c r="H244" s="80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80"/>
      <c r="D245" s="80"/>
      <c r="E245" s="80"/>
      <c r="F245" s="80"/>
      <c r="G245" s="80"/>
      <c r="H245" s="80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80"/>
      <c r="D246" s="80"/>
      <c r="E246" s="80"/>
      <c r="F246" s="80"/>
      <c r="G246" s="80"/>
      <c r="H246" s="80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80"/>
      <c r="D247" s="80"/>
      <c r="E247" s="80"/>
      <c r="F247" s="80"/>
      <c r="G247" s="80"/>
      <c r="H247" s="80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80"/>
      <c r="D248" s="80"/>
      <c r="E248" s="80"/>
      <c r="F248" s="80"/>
      <c r="G248" s="80"/>
      <c r="H248" s="80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80"/>
      <c r="D249" s="80"/>
      <c r="E249" s="80"/>
      <c r="F249" s="80"/>
      <c r="G249" s="80"/>
      <c r="H249" s="80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80"/>
      <c r="D250" s="80"/>
      <c r="E250" s="80"/>
      <c r="F250" s="80"/>
      <c r="G250" s="80"/>
      <c r="H250" s="80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80"/>
      <c r="D251" s="80"/>
      <c r="E251" s="80"/>
      <c r="F251" s="80"/>
      <c r="G251" s="80"/>
      <c r="H251" s="80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80"/>
      <c r="D252" s="80"/>
      <c r="E252" s="80"/>
      <c r="F252" s="80"/>
      <c r="G252" s="80"/>
      <c r="H252" s="80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80"/>
      <c r="D253" s="80"/>
      <c r="E253" s="80"/>
      <c r="F253" s="80"/>
      <c r="G253" s="80"/>
      <c r="H253" s="80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80"/>
      <c r="D254" s="80"/>
      <c r="E254" s="80"/>
      <c r="F254" s="80"/>
      <c r="G254" s="80"/>
      <c r="H254" s="80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80"/>
      <c r="D255" s="80"/>
      <c r="E255" s="80"/>
      <c r="F255" s="80"/>
      <c r="G255" s="80"/>
      <c r="H255" s="80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80"/>
      <c r="D256" s="80"/>
      <c r="E256" s="80"/>
      <c r="F256" s="80"/>
      <c r="G256" s="80"/>
      <c r="H256" s="80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80"/>
      <c r="D257" s="80"/>
      <c r="E257" s="80"/>
      <c r="F257" s="80"/>
      <c r="G257" s="80"/>
      <c r="H257" s="80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80"/>
      <c r="D258" s="80"/>
      <c r="E258" s="80"/>
      <c r="F258" s="80"/>
      <c r="G258" s="80"/>
      <c r="H258" s="80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80"/>
      <c r="D259" s="80"/>
      <c r="E259" s="80"/>
      <c r="F259" s="80"/>
      <c r="G259" s="80"/>
      <c r="H259" s="80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80"/>
      <c r="D260" s="80"/>
      <c r="E260" s="80"/>
      <c r="F260" s="80"/>
      <c r="G260" s="80"/>
      <c r="H260" s="80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80"/>
      <c r="D261" s="80"/>
      <c r="E261" s="80"/>
      <c r="F261" s="80"/>
      <c r="G261" s="80"/>
      <c r="H261" s="80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80"/>
      <c r="D262" s="80"/>
      <c r="E262" s="80"/>
      <c r="F262" s="80"/>
      <c r="G262" s="80"/>
      <c r="H262" s="80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80"/>
      <c r="D263" s="80"/>
      <c r="E263" s="80"/>
      <c r="F263" s="80"/>
      <c r="G263" s="80"/>
      <c r="H263" s="80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80"/>
      <c r="D264" s="80"/>
      <c r="E264" s="80"/>
      <c r="F264" s="80"/>
      <c r="G264" s="80"/>
      <c r="H264" s="80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80"/>
      <c r="D265" s="80"/>
      <c r="E265" s="80"/>
      <c r="F265" s="80"/>
      <c r="G265" s="80"/>
      <c r="H265" s="80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80"/>
      <c r="D266" s="80"/>
      <c r="E266" s="80"/>
      <c r="F266" s="80"/>
      <c r="G266" s="80"/>
      <c r="H266" s="80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80"/>
      <c r="D267" s="80"/>
      <c r="E267" s="80"/>
      <c r="F267" s="80"/>
      <c r="G267" s="80"/>
      <c r="H267" s="80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80"/>
      <c r="D268" s="80"/>
      <c r="E268" s="80"/>
      <c r="F268" s="80"/>
      <c r="G268" s="80"/>
      <c r="H268" s="80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80"/>
      <c r="D269" s="80"/>
      <c r="E269" s="80"/>
      <c r="F269" s="80"/>
      <c r="G269" s="80"/>
      <c r="H269" s="80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80"/>
      <c r="D270" s="80"/>
      <c r="E270" s="80"/>
      <c r="F270" s="80"/>
      <c r="G270" s="80"/>
      <c r="H270" s="80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80"/>
      <c r="D271" s="80"/>
      <c r="E271" s="80"/>
      <c r="F271" s="80"/>
      <c r="G271" s="80"/>
      <c r="H271" s="80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80"/>
      <c r="D272" s="80"/>
      <c r="E272" s="80"/>
      <c r="F272" s="80"/>
      <c r="G272" s="80"/>
      <c r="H272" s="80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80"/>
      <c r="D273" s="80"/>
      <c r="E273" s="80"/>
      <c r="F273" s="80"/>
      <c r="G273" s="80"/>
      <c r="H273" s="80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80"/>
      <c r="D274" s="80"/>
      <c r="E274" s="80"/>
      <c r="F274" s="80"/>
      <c r="G274" s="80"/>
      <c r="H274" s="80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80"/>
      <c r="D275" s="80"/>
      <c r="E275" s="80"/>
      <c r="F275" s="80"/>
      <c r="G275" s="80"/>
      <c r="H275" s="80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80"/>
      <c r="D276" s="80"/>
      <c r="E276" s="80"/>
      <c r="F276" s="80"/>
      <c r="G276" s="80"/>
      <c r="H276" s="80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80"/>
      <c r="D277" s="80"/>
      <c r="E277" s="80"/>
      <c r="F277" s="80"/>
      <c r="G277" s="80"/>
      <c r="H277" s="80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80"/>
      <c r="D278" s="80"/>
      <c r="E278" s="80"/>
      <c r="F278" s="80"/>
      <c r="G278" s="80"/>
      <c r="H278" s="80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80"/>
      <c r="D279" s="80"/>
      <c r="E279" s="80"/>
      <c r="F279" s="80"/>
      <c r="G279" s="80"/>
      <c r="H279" s="80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80"/>
      <c r="D280" s="80"/>
      <c r="E280" s="80"/>
      <c r="F280" s="80"/>
      <c r="G280" s="80"/>
      <c r="H280" s="80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80"/>
      <c r="D281" s="80"/>
      <c r="E281" s="80"/>
      <c r="F281" s="80"/>
      <c r="G281" s="80"/>
      <c r="H281" s="80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80"/>
      <c r="D282" s="80"/>
      <c r="E282" s="80"/>
      <c r="F282" s="80"/>
      <c r="G282" s="80"/>
      <c r="H282" s="80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80"/>
      <c r="D283" s="80"/>
      <c r="E283" s="80"/>
      <c r="F283" s="80"/>
      <c r="G283" s="80"/>
      <c r="H283" s="80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80"/>
      <c r="D284" s="80"/>
      <c r="E284" s="80"/>
      <c r="F284" s="80"/>
      <c r="G284" s="80"/>
      <c r="H284" s="80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80"/>
      <c r="D285" s="80"/>
      <c r="E285" s="80"/>
      <c r="F285" s="80"/>
      <c r="G285" s="80"/>
      <c r="H285" s="80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80"/>
      <c r="D286" s="80"/>
      <c r="E286" s="80"/>
      <c r="F286" s="80"/>
      <c r="G286" s="80"/>
      <c r="H286" s="80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80"/>
      <c r="D287" s="80"/>
      <c r="E287" s="80"/>
      <c r="F287" s="80"/>
      <c r="G287" s="80"/>
      <c r="H287" s="80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80"/>
      <c r="D288" s="80"/>
      <c r="E288" s="80"/>
      <c r="F288" s="80"/>
      <c r="G288" s="80"/>
      <c r="H288" s="80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80"/>
      <c r="D289" s="80"/>
      <c r="E289" s="80"/>
      <c r="F289" s="80"/>
      <c r="G289" s="80"/>
      <c r="H289" s="80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80"/>
      <c r="D290" s="80"/>
      <c r="E290" s="80"/>
      <c r="F290" s="80"/>
      <c r="G290" s="80"/>
      <c r="H290" s="80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80"/>
      <c r="D291" s="80"/>
      <c r="E291" s="80"/>
      <c r="F291" s="80"/>
      <c r="G291" s="80"/>
      <c r="H291" s="80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80"/>
      <c r="D292" s="80"/>
      <c r="E292" s="80"/>
      <c r="F292" s="80"/>
      <c r="G292" s="80"/>
      <c r="H292" s="80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80"/>
      <c r="D293" s="80"/>
      <c r="E293" s="80"/>
      <c r="F293" s="80"/>
      <c r="G293" s="80"/>
      <c r="H293" s="80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80"/>
      <c r="D294" s="80"/>
      <c r="E294" s="80"/>
      <c r="F294" s="80"/>
      <c r="G294" s="80"/>
      <c r="H294" s="80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80"/>
      <c r="D295" s="80"/>
      <c r="E295" s="80"/>
      <c r="F295" s="80"/>
      <c r="G295" s="80"/>
      <c r="H295" s="80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80"/>
      <c r="D296" s="80"/>
      <c r="E296" s="80"/>
      <c r="F296" s="80"/>
      <c r="G296" s="80"/>
      <c r="H296" s="80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80"/>
      <c r="D297" s="80"/>
      <c r="E297" s="80"/>
      <c r="F297" s="80"/>
      <c r="G297" s="80"/>
      <c r="H297" s="80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80"/>
      <c r="D298" s="80"/>
      <c r="E298" s="80"/>
      <c r="F298" s="80"/>
      <c r="G298" s="80"/>
      <c r="H298" s="80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80"/>
      <c r="D299" s="80"/>
      <c r="E299" s="80"/>
      <c r="F299" s="80"/>
      <c r="G299" s="80"/>
      <c r="H299" s="80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80"/>
      <c r="D300" s="80"/>
      <c r="E300" s="80"/>
      <c r="F300" s="80"/>
      <c r="G300" s="80"/>
      <c r="H300" s="80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80"/>
      <c r="D301" s="80"/>
      <c r="E301" s="80"/>
      <c r="F301" s="80"/>
      <c r="G301" s="80"/>
      <c r="H301" s="80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80"/>
      <c r="D302" s="80"/>
      <c r="E302" s="80"/>
      <c r="F302" s="80"/>
      <c r="G302" s="80"/>
      <c r="H302" s="80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80"/>
      <c r="D303" s="80"/>
      <c r="E303" s="80"/>
      <c r="F303" s="80"/>
      <c r="G303" s="80"/>
      <c r="H303" s="80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80"/>
      <c r="D304" s="80"/>
      <c r="E304" s="80"/>
      <c r="F304" s="80"/>
      <c r="G304" s="80"/>
      <c r="H304" s="80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80"/>
      <c r="D305" s="80"/>
      <c r="E305" s="80"/>
      <c r="F305" s="80"/>
      <c r="G305" s="80"/>
      <c r="H305" s="80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80"/>
      <c r="D306" s="80"/>
      <c r="E306" s="80"/>
      <c r="F306" s="80"/>
      <c r="G306" s="80"/>
      <c r="H306" s="80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80"/>
      <c r="D307" s="80"/>
      <c r="E307" s="80"/>
      <c r="F307" s="80"/>
      <c r="G307" s="80"/>
      <c r="H307" s="80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80"/>
      <c r="D308" s="80"/>
      <c r="E308" s="80"/>
      <c r="F308" s="80"/>
      <c r="G308" s="80"/>
      <c r="H308" s="80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80"/>
      <c r="D309" s="80"/>
      <c r="E309" s="80"/>
      <c r="F309" s="80"/>
      <c r="G309" s="80"/>
      <c r="H309" s="80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80"/>
      <c r="D310" s="80"/>
      <c r="E310" s="80"/>
      <c r="F310" s="80"/>
      <c r="G310" s="80"/>
      <c r="H310" s="80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80"/>
      <c r="D311" s="80"/>
      <c r="E311" s="80"/>
      <c r="F311" s="80"/>
      <c r="G311" s="80"/>
      <c r="H311" s="80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80"/>
      <c r="D312" s="80"/>
      <c r="E312" s="80"/>
      <c r="F312" s="80"/>
      <c r="G312" s="80"/>
      <c r="H312" s="80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80"/>
      <c r="D313" s="80"/>
      <c r="E313" s="80"/>
      <c r="F313" s="80"/>
      <c r="G313" s="80"/>
      <c r="H313" s="80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80"/>
      <c r="D314" s="80"/>
      <c r="E314" s="80"/>
      <c r="F314" s="80"/>
      <c r="G314" s="80"/>
      <c r="H314" s="80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80"/>
      <c r="D315" s="80"/>
      <c r="E315" s="80"/>
      <c r="F315" s="80"/>
      <c r="G315" s="80"/>
      <c r="H315" s="80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80"/>
      <c r="D316" s="80"/>
      <c r="E316" s="80"/>
      <c r="F316" s="80"/>
      <c r="G316" s="80"/>
      <c r="H316" s="80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>
      <c r="A317" s="4"/>
      <c r="B317" s="4"/>
      <c r="C317" s="80"/>
      <c r="D317" s="80"/>
      <c r="E317" s="80"/>
      <c r="F317" s="80"/>
      <c r="G317" s="80"/>
      <c r="H317" s="80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>
      <c r="A318" s="4"/>
      <c r="B318" s="4"/>
      <c r="C318" s="80"/>
      <c r="D318" s="80"/>
      <c r="E318" s="80"/>
      <c r="F318" s="80"/>
      <c r="G318" s="80"/>
      <c r="H318" s="80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>
      <c r="A319" s="4"/>
      <c r="B319" s="4"/>
      <c r="C319" s="80"/>
      <c r="D319" s="80"/>
      <c r="E319" s="80"/>
      <c r="F319" s="80"/>
      <c r="G319" s="80"/>
      <c r="H319" s="80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>
      <c r="A320" s="4"/>
      <c r="B320" s="4"/>
      <c r="C320" s="80"/>
      <c r="D320" s="80"/>
      <c r="E320" s="80"/>
      <c r="F320" s="80"/>
      <c r="G320" s="80"/>
      <c r="H320" s="80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>
      <c r="A321" s="4"/>
      <c r="B321" s="4"/>
      <c r="C321" s="80"/>
      <c r="D321" s="80"/>
      <c r="E321" s="80"/>
      <c r="F321" s="80"/>
      <c r="G321" s="80"/>
      <c r="H321" s="80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>
      <c r="A322" s="4"/>
      <c r="B322" s="4"/>
      <c r="C322" s="80"/>
      <c r="D322" s="80"/>
      <c r="E322" s="80"/>
      <c r="F322" s="80"/>
      <c r="G322" s="80"/>
      <c r="H322" s="80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>
      <c r="A323" s="4"/>
      <c r="B323" s="4"/>
      <c r="C323" s="80"/>
      <c r="D323" s="80"/>
      <c r="E323" s="80"/>
      <c r="F323" s="80"/>
      <c r="G323" s="80"/>
      <c r="H323" s="80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>
      <c r="A324" s="4"/>
      <c r="B324" s="4"/>
      <c r="C324" s="80"/>
      <c r="D324" s="80"/>
      <c r="E324" s="80"/>
      <c r="F324" s="80"/>
      <c r="G324" s="80"/>
      <c r="H324" s="80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>
      <c r="A325" s="4"/>
      <c r="B325" s="4"/>
      <c r="C325" s="80"/>
      <c r="D325" s="80"/>
      <c r="E325" s="80"/>
      <c r="F325" s="80"/>
      <c r="G325" s="80"/>
      <c r="H325" s="80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>
      <c r="A326" s="4"/>
      <c r="B326" s="4"/>
      <c r="C326" s="80"/>
      <c r="D326" s="80"/>
      <c r="E326" s="80"/>
      <c r="F326" s="80"/>
      <c r="G326" s="80"/>
      <c r="H326" s="80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>
      <c r="A327" s="4"/>
      <c r="B327" s="4"/>
      <c r="C327" s="80"/>
      <c r="D327" s="80"/>
      <c r="E327" s="80"/>
      <c r="F327" s="80"/>
      <c r="G327" s="80"/>
      <c r="H327" s="80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>
      <c r="A328" s="4"/>
      <c r="B328" s="4"/>
      <c r="C328" s="80"/>
      <c r="D328" s="80"/>
      <c r="E328" s="80"/>
      <c r="F328" s="80"/>
      <c r="G328" s="80"/>
      <c r="H328" s="80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>
      <c r="A329" s="4"/>
      <c r="B329" s="4"/>
      <c r="C329" s="80"/>
      <c r="D329" s="80"/>
      <c r="E329" s="80"/>
      <c r="F329" s="80"/>
      <c r="G329" s="80"/>
      <c r="H329" s="80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>
      <c r="A330" s="4"/>
      <c r="B330" s="4"/>
      <c r="C330" s="80"/>
      <c r="D330" s="80"/>
      <c r="E330" s="80"/>
      <c r="F330" s="80"/>
      <c r="G330" s="80"/>
      <c r="H330" s="8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>
      <c r="A331" s="4"/>
      <c r="B331" s="4"/>
      <c r="C331" s="80"/>
      <c r="D331" s="80"/>
      <c r="E331" s="80"/>
      <c r="F331" s="80"/>
      <c r="G331" s="80"/>
      <c r="H331" s="80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>
      <c r="A332" s="4"/>
      <c r="B332" s="4"/>
      <c r="C332" s="80"/>
      <c r="D332" s="80"/>
      <c r="E332" s="80"/>
      <c r="F332" s="80"/>
      <c r="G332" s="80"/>
      <c r="H332" s="80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>
      <c r="A333" s="4"/>
      <c r="B333" s="4"/>
      <c r="C333" s="80"/>
      <c r="D333" s="80"/>
      <c r="E333" s="80"/>
      <c r="F333" s="80"/>
      <c r="G333" s="80"/>
      <c r="H333" s="80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>
      <c r="A334" s="4"/>
      <c r="B334" s="4"/>
      <c r="C334" s="80"/>
      <c r="D334" s="80"/>
      <c r="E334" s="80"/>
      <c r="F334" s="80"/>
      <c r="G334" s="80"/>
      <c r="H334" s="80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>
      <c r="A335" s="4"/>
      <c r="B335" s="4"/>
      <c r="C335" s="80"/>
      <c r="D335" s="80"/>
      <c r="E335" s="80"/>
      <c r="F335" s="80"/>
      <c r="G335" s="80"/>
      <c r="H335" s="80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>
      <c r="A336" s="4"/>
      <c r="B336" s="4"/>
      <c r="C336" s="80"/>
      <c r="D336" s="80"/>
      <c r="E336" s="80"/>
      <c r="F336" s="80"/>
      <c r="G336" s="80"/>
      <c r="H336" s="80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>
      <c r="A337" s="4"/>
      <c r="B337" s="4"/>
      <c r="C337" s="80"/>
      <c r="D337" s="80"/>
      <c r="E337" s="80"/>
      <c r="F337" s="80"/>
      <c r="G337" s="80"/>
      <c r="H337" s="80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>
      <c r="A338" s="4"/>
      <c r="B338" s="4"/>
      <c r="C338" s="80"/>
      <c r="D338" s="80"/>
      <c r="E338" s="80"/>
      <c r="F338" s="80"/>
      <c r="G338" s="80"/>
      <c r="H338" s="80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>
      <c r="A339" s="4"/>
      <c r="B339" s="4"/>
      <c r="C339" s="80"/>
      <c r="D339" s="80"/>
      <c r="E339" s="80"/>
      <c r="F339" s="80"/>
      <c r="G339" s="80"/>
      <c r="H339" s="80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>
      <c r="A340" s="4"/>
      <c r="B340" s="4"/>
      <c r="C340" s="80"/>
      <c r="D340" s="80"/>
      <c r="E340" s="80"/>
      <c r="F340" s="80"/>
      <c r="G340" s="80"/>
      <c r="H340" s="80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>
      <c r="A341" s="4"/>
      <c r="B341" s="4"/>
      <c r="C341" s="80"/>
      <c r="D341" s="80"/>
      <c r="E341" s="80"/>
      <c r="F341" s="80"/>
      <c r="G341" s="80"/>
      <c r="H341" s="80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>
      <c r="A342" s="4"/>
      <c r="B342" s="4"/>
      <c r="C342" s="80"/>
      <c r="D342" s="80"/>
      <c r="E342" s="80"/>
      <c r="F342" s="80"/>
      <c r="G342" s="80"/>
      <c r="H342" s="80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>
      <c r="A343" s="4"/>
      <c r="B343" s="4"/>
      <c r="C343" s="80"/>
      <c r="D343" s="80"/>
      <c r="E343" s="80"/>
      <c r="F343" s="80"/>
      <c r="G343" s="80"/>
      <c r="H343" s="80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>
      <c r="A344" s="4"/>
      <c r="B344" s="4"/>
      <c r="C344" s="80"/>
      <c r="D344" s="80"/>
      <c r="E344" s="80"/>
      <c r="F344" s="80"/>
      <c r="G344" s="80"/>
      <c r="H344" s="80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>
      <c r="A345" s="4"/>
      <c r="B345" s="4"/>
      <c r="C345" s="80"/>
      <c r="D345" s="80"/>
      <c r="E345" s="80"/>
      <c r="F345" s="80"/>
      <c r="G345" s="80"/>
      <c r="H345" s="80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>
      <c r="A346" s="4"/>
      <c r="B346" s="4"/>
      <c r="C346" s="80"/>
      <c r="D346" s="80"/>
      <c r="E346" s="80"/>
      <c r="F346" s="80"/>
      <c r="G346" s="80"/>
      <c r="H346" s="80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>
      <c r="A347" s="4"/>
      <c r="B347" s="4"/>
      <c r="C347" s="80"/>
      <c r="D347" s="80"/>
      <c r="E347" s="80"/>
      <c r="F347" s="80"/>
      <c r="G347" s="80"/>
      <c r="H347" s="80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>
      <c r="A348" s="4"/>
      <c r="B348" s="4"/>
      <c r="C348" s="80"/>
      <c r="D348" s="80"/>
      <c r="E348" s="80"/>
      <c r="F348" s="80"/>
      <c r="G348" s="80"/>
      <c r="H348" s="80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>
      <c r="A349" s="4"/>
      <c r="B349" s="4"/>
      <c r="C349" s="80"/>
      <c r="D349" s="80"/>
      <c r="E349" s="80"/>
      <c r="F349" s="80"/>
      <c r="G349" s="80"/>
      <c r="H349" s="80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>
      <c r="A350" s="4"/>
      <c r="B350" s="4"/>
      <c r="C350" s="80"/>
      <c r="D350" s="80"/>
      <c r="E350" s="80"/>
      <c r="F350" s="80"/>
      <c r="G350" s="80"/>
      <c r="H350" s="80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>
      <c r="A351" s="4"/>
      <c r="B351" s="4"/>
      <c r="C351" s="80"/>
      <c r="D351" s="80"/>
      <c r="E351" s="80"/>
      <c r="F351" s="80"/>
      <c r="G351" s="80"/>
      <c r="H351" s="80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>
      <c r="A352" s="4"/>
      <c r="B352" s="4"/>
      <c r="C352" s="80"/>
      <c r="D352" s="80"/>
      <c r="E352" s="80"/>
      <c r="F352" s="80"/>
      <c r="G352" s="80"/>
      <c r="H352" s="80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>
      <c r="A353" s="4"/>
      <c r="B353" s="4"/>
      <c r="C353" s="80"/>
      <c r="D353" s="80"/>
      <c r="E353" s="80"/>
      <c r="F353" s="80"/>
      <c r="G353" s="80"/>
      <c r="H353" s="80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>
      <c r="A354" s="4"/>
      <c r="B354" s="4"/>
      <c r="C354" s="80"/>
      <c r="D354" s="80"/>
      <c r="E354" s="80"/>
      <c r="F354" s="80"/>
      <c r="G354" s="80"/>
      <c r="H354" s="80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>
      <c r="A355" s="4"/>
      <c r="B355" s="4"/>
      <c r="C355" s="80"/>
      <c r="D355" s="80"/>
      <c r="E355" s="80"/>
      <c r="F355" s="80"/>
      <c r="G355" s="80"/>
      <c r="H355" s="80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>
      <c r="A356" s="4"/>
      <c r="B356" s="4"/>
      <c r="C356" s="80"/>
      <c r="D356" s="80"/>
      <c r="E356" s="80"/>
      <c r="F356" s="80"/>
      <c r="G356" s="80"/>
      <c r="H356" s="80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>
      <c r="A357" s="4"/>
      <c r="B357" s="4"/>
      <c r="C357" s="80"/>
      <c r="D357" s="80"/>
      <c r="E357" s="80"/>
      <c r="F357" s="80"/>
      <c r="G357" s="80"/>
      <c r="H357" s="80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>
      <c r="A358" s="4"/>
      <c r="B358" s="4"/>
      <c r="C358" s="80"/>
      <c r="D358" s="80"/>
      <c r="E358" s="80"/>
      <c r="F358" s="80"/>
      <c r="G358" s="80"/>
      <c r="H358" s="80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>
      <c r="A359" s="4"/>
      <c r="B359" s="4"/>
      <c r="C359" s="80"/>
      <c r="D359" s="80"/>
      <c r="E359" s="80"/>
      <c r="F359" s="80"/>
      <c r="G359" s="80"/>
      <c r="H359" s="80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>
      <c r="A360" s="4"/>
      <c r="B360" s="4"/>
      <c r="C360" s="80"/>
      <c r="D360" s="80"/>
      <c r="E360" s="80"/>
      <c r="F360" s="80"/>
      <c r="G360" s="80"/>
      <c r="H360" s="80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>
      <c r="A361" s="4"/>
      <c r="B361" s="4"/>
      <c r="C361" s="80"/>
      <c r="D361" s="80"/>
      <c r="E361" s="80"/>
      <c r="F361" s="80"/>
      <c r="G361" s="80"/>
      <c r="H361" s="80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>
      <c r="A362" s="4"/>
      <c r="B362" s="4"/>
      <c r="C362" s="80"/>
      <c r="D362" s="80"/>
      <c r="E362" s="80"/>
      <c r="F362" s="80"/>
      <c r="G362" s="80"/>
      <c r="H362" s="80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>
      <c r="A363" s="4"/>
      <c r="B363" s="4"/>
      <c r="C363" s="80"/>
      <c r="D363" s="80"/>
      <c r="E363" s="80"/>
      <c r="F363" s="80"/>
      <c r="G363" s="80"/>
      <c r="H363" s="80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>
      <c r="A364" s="4"/>
      <c r="B364" s="4"/>
      <c r="C364" s="80"/>
      <c r="D364" s="80"/>
      <c r="E364" s="80"/>
      <c r="F364" s="80"/>
      <c r="G364" s="80"/>
      <c r="H364" s="80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>
      <c r="A365" s="4"/>
      <c r="B365" s="4"/>
      <c r="C365" s="80"/>
      <c r="D365" s="80"/>
      <c r="E365" s="80"/>
      <c r="F365" s="80"/>
      <c r="G365" s="80"/>
      <c r="H365" s="80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>
      <c r="A366" s="4"/>
      <c r="B366" s="4"/>
      <c r="C366" s="80"/>
      <c r="D366" s="80"/>
      <c r="E366" s="80"/>
      <c r="F366" s="80"/>
      <c r="G366" s="80"/>
      <c r="H366" s="80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>
      <c r="A367" s="4"/>
      <c r="B367" s="4"/>
      <c r="C367" s="80"/>
      <c r="D367" s="80"/>
      <c r="E367" s="80"/>
      <c r="F367" s="80"/>
      <c r="G367" s="80"/>
      <c r="H367" s="80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>
      <c r="A368" s="4"/>
      <c r="B368" s="4"/>
      <c r="C368" s="80"/>
      <c r="D368" s="80"/>
      <c r="E368" s="80"/>
      <c r="F368" s="80"/>
      <c r="G368" s="80"/>
      <c r="H368" s="80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>
      <c r="A369" s="4"/>
      <c r="B369" s="4"/>
      <c r="C369" s="80"/>
      <c r="D369" s="80"/>
      <c r="E369" s="80"/>
      <c r="F369" s="80"/>
      <c r="G369" s="80"/>
      <c r="H369" s="80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>
      <c r="A370" s="4"/>
      <c r="B370" s="4"/>
      <c r="C370" s="80"/>
      <c r="D370" s="80"/>
      <c r="E370" s="80"/>
      <c r="F370" s="80"/>
      <c r="G370" s="80"/>
      <c r="H370" s="80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>
      <c r="A371" s="4"/>
      <c r="B371" s="4"/>
      <c r="C371" s="80"/>
      <c r="D371" s="80"/>
      <c r="E371" s="80"/>
      <c r="F371" s="80"/>
      <c r="G371" s="80"/>
      <c r="H371" s="80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>
      <c r="A372" s="4"/>
      <c r="B372" s="4"/>
      <c r="C372" s="80"/>
      <c r="D372" s="80"/>
      <c r="E372" s="80"/>
      <c r="F372" s="80"/>
      <c r="G372" s="80"/>
      <c r="H372" s="80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>
      <c r="A373" s="4"/>
      <c r="B373" s="4"/>
      <c r="C373" s="80"/>
      <c r="D373" s="80"/>
      <c r="E373" s="80"/>
      <c r="F373" s="80"/>
      <c r="G373" s="80"/>
      <c r="H373" s="80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>
      <c r="A374" s="4"/>
      <c r="B374" s="4"/>
      <c r="C374" s="80"/>
      <c r="D374" s="80"/>
      <c r="E374" s="80"/>
      <c r="F374" s="80"/>
      <c r="G374" s="80"/>
      <c r="H374" s="80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>
      <c r="A375" s="4"/>
      <c r="B375" s="4"/>
      <c r="C375" s="80"/>
      <c r="D375" s="80"/>
      <c r="E375" s="80"/>
      <c r="F375" s="80"/>
      <c r="G375" s="80"/>
      <c r="H375" s="80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>
      <c r="A376" s="4"/>
      <c r="B376" s="4"/>
      <c r="C376" s="80"/>
      <c r="D376" s="80"/>
      <c r="E376" s="80"/>
      <c r="F376" s="80"/>
      <c r="G376" s="80"/>
      <c r="H376" s="80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>
      <c r="A377" s="4"/>
      <c r="B377" s="4"/>
      <c r="C377" s="80"/>
      <c r="D377" s="80"/>
      <c r="E377" s="80"/>
      <c r="F377" s="80"/>
      <c r="G377" s="80"/>
      <c r="H377" s="80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>
      <c r="A378" s="4"/>
      <c r="B378" s="4"/>
      <c r="C378" s="80"/>
      <c r="D378" s="80"/>
      <c r="E378" s="80"/>
      <c r="F378" s="80"/>
      <c r="G378" s="80"/>
      <c r="H378" s="80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>
      <c r="A379" s="4"/>
      <c r="B379" s="4"/>
      <c r="C379" s="80"/>
      <c r="D379" s="80"/>
      <c r="E379" s="80"/>
      <c r="F379" s="80"/>
      <c r="G379" s="80"/>
      <c r="H379" s="80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>
      <c r="A380" s="4"/>
      <c r="B380" s="4"/>
      <c r="C380" s="80"/>
      <c r="D380" s="80"/>
      <c r="E380" s="80"/>
      <c r="F380" s="80"/>
      <c r="G380" s="80"/>
      <c r="H380" s="80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>
      <c r="A381" s="4"/>
      <c r="B381" s="4"/>
      <c r="C381" s="80"/>
      <c r="D381" s="80"/>
      <c r="E381" s="80"/>
      <c r="F381" s="80"/>
      <c r="G381" s="80"/>
      <c r="H381" s="80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>
      <c r="A382" s="4"/>
      <c r="B382" s="4"/>
      <c r="C382" s="80"/>
      <c r="D382" s="80"/>
      <c r="E382" s="80"/>
      <c r="F382" s="80"/>
      <c r="G382" s="80"/>
      <c r="H382" s="80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>
      <c r="A383" s="4"/>
      <c r="B383" s="4"/>
      <c r="C383" s="80"/>
      <c r="D383" s="80"/>
      <c r="E383" s="80"/>
      <c r="F383" s="80"/>
      <c r="G383" s="80"/>
      <c r="H383" s="80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>
      <c r="A384" s="4"/>
      <c r="B384" s="4"/>
      <c r="C384" s="80"/>
      <c r="D384" s="80"/>
      <c r="E384" s="80"/>
      <c r="F384" s="80"/>
      <c r="G384" s="80"/>
      <c r="H384" s="80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>
      <c r="A385" s="4"/>
      <c r="B385" s="4"/>
      <c r="C385" s="80"/>
      <c r="D385" s="80"/>
      <c r="E385" s="80"/>
      <c r="F385" s="80"/>
      <c r="G385" s="80"/>
      <c r="H385" s="80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>
      <c r="A386" s="4"/>
      <c r="B386" s="4"/>
      <c r="C386" s="80"/>
      <c r="D386" s="80"/>
      <c r="E386" s="80"/>
      <c r="F386" s="80"/>
      <c r="G386" s="80"/>
      <c r="H386" s="80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>
      <c r="A387" s="4"/>
      <c r="B387" s="4"/>
      <c r="C387" s="80"/>
      <c r="D387" s="80"/>
      <c r="E387" s="80"/>
      <c r="F387" s="80"/>
      <c r="G387" s="80"/>
      <c r="H387" s="80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>
      <c r="A388" s="4"/>
      <c r="B388" s="4"/>
      <c r="C388" s="80"/>
      <c r="D388" s="80"/>
      <c r="E388" s="80"/>
      <c r="F388" s="80"/>
      <c r="G388" s="80"/>
      <c r="H388" s="80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>
      <c r="A389" s="4"/>
      <c r="B389" s="4"/>
      <c r="C389" s="80"/>
      <c r="D389" s="80"/>
      <c r="E389" s="80"/>
      <c r="F389" s="80"/>
      <c r="G389" s="80"/>
      <c r="H389" s="80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>
      <c r="A390" s="4"/>
      <c r="B390" s="4"/>
      <c r="C390" s="80"/>
      <c r="D390" s="80"/>
      <c r="E390" s="80"/>
      <c r="F390" s="80"/>
      <c r="G390" s="80"/>
      <c r="H390" s="80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>
      <c r="A391" s="4"/>
      <c r="B391" s="4"/>
      <c r="C391" s="80"/>
      <c r="D391" s="80"/>
      <c r="E391" s="80"/>
      <c r="F391" s="80"/>
      <c r="G391" s="80"/>
      <c r="H391" s="80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>
      <c r="A392" s="4"/>
      <c r="B392" s="4"/>
      <c r="C392" s="80"/>
      <c r="D392" s="80"/>
      <c r="E392" s="80"/>
      <c r="F392" s="80"/>
      <c r="G392" s="80"/>
      <c r="H392" s="80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>
      <c r="A393" s="4"/>
      <c r="B393" s="4"/>
      <c r="C393" s="80"/>
      <c r="D393" s="80"/>
      <c r="E393" s="80"/>
      <c r="F393" s="80"/>
      <c r="G393" s="80"/>
      <c r="H393" s="80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>
      <c r="A394" s="4"/>
      <c r="B394" s="4"/>
      <c r="C394" s="80"/>
      <c r="D394" s="80"/>
      <c r="E394" s="80"/>
      <c r="F394" s="80"/>
      <c r="G394" s="80"/>
      <c r="H394" s="80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>
      <c r="A395" s="4"/>
      <c r="B395" s="4"/>
      <c r="C395" s="80"/>
      <c r="D395" s="80"/>
      <c r="E395" s="80"/>
      <c r="F395" s="80"/>
      <c r="G395" s="80"/>
      <c r="H395" s="80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>
      <c r="A396" s="4"/>
      <c r="B396" s="4"/>
      <c r="C396" s="80"/>
      <c r="D396" s="80"/>
      <c r="E396" s="80"/>
      <c r="F396" s="80"/>
      <c r="G396" s="80"/>
      <c r="H396" s="80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>
      <c r="A397" s="4"/>
      <c r="B397" s="4"/>
      <c r="C397" s="80"/>
      <c r="D397" s="80"/>
      <c r="E397" s="80"/>
      <c r="F397" s="80"/>
      <c r="G397" s="80"/>
      <c r="H397" s="80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>
      <c r="A398" s="4"/>
      <c r="B398" s="4"/>
      <c r="C398" s="80"/>
      <c r="D398" s="80"/>
      <c r="E398" s="80"/>
      <c r="F398" s="80"/>
      <c r="G398" s="80"/>
      <c r="H398" s="80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>
      <c r="A399" s="4"/>
      <c r="B399" s="4"/>
      <c r="C399" s="80"/>
      <c r="D399" s="80"/>
      <c r="E399" s="80"/>
      <c r="F399" s="80"/>
      <c r="G399" s="80"/>
      <c r="H399" s="80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>
      <c r="A400" s="4"/>
      <c r="B400" s="4"/>
      <c r="C400" s="80"/>
      <c r="D400" s="80"/>
      <c r="E400" s="80"/>
      <c r="F400" s="80"/>
      <c r="G400" s="80"/>
      <c r="H400" s="80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>
      <c r="A401" s="4"/>
      <c r="B401" s="4"/>
      <c r="C401" s="80"/>
      <c r="D401" s="80"/>
      <c r="E401" s="80"/>
      <c r="F401" s="80"/>
      <c r="G401" s="80"/>
      <c r="H401" s="80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>
      <c r="A402" s="4"/>
      <c r="B402" s="4"/>
      <c r="C402" s="80"/>
      <c r="D402" s="80"/>
      <c r="E402" s="80"/>
      <c r="F402" s="80"/>
      <c r="G402" s="80"/>
      <c r="H402" s="80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>
      <c r="A403" s="4"/>
      <c r="B403" s="4"/>
      <c r="C403" s="80"/>
      <c r="D403" s="80"/>
      <c r="E403" s="80"/>
      <c r="F403" s="80"/>
      <c r="G403" s="80"/>
      <c r="H403" s="80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>
      <c r="A404" s="4"/>
      <c r="B404" s="4"/>
      <c r="C404" s="80"/>
      <c r="D404" s="80"/>
      <c r="E404" s="80"/>
      <c r="F404" s="80"/>
      <c r="G404" s="80"/>
      <c r="H404" s="80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>
      <c r="A405" s="4"/>
      <c r="B405" s="4"/>
      <c r="C405" s="80"/>
      <c r="D405" s="80"/>
      <c r="E405" s="80"/>
      <c r="F405" s="80"/>
      <c r="G405" s="80"/>
      <c r="H405" s="80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>
      <c r="A406" s="4"/>
      <c r="B406" s="4"/>
      <c r="C406" s="80"/>
      <c r="D406" s="80"/>
      <c r="E406" s="80"/>
      <c r="F406" s="80"/>
      <c r="G406" s="80"/>
      <c r="H406" s="80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>
      <c r="A407" s="4"/>
      <c r="B407" s="4"/>
      <c r="C407" s="80"/>
      <c r="D407" s="80"/>
      <c r="E407" s="80"/>
      <c r="F407" s="80"/>
      <c r="G407" s="80"/>
      <c r="H407" s="80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>
      <c r="A408" s="4"/>
      <c r="B408" s="4"/>
      <c r="C408" s="80"/>
      <c r="D408" s="80"/>
      <c r="E408" s="80"/>
      <c r="F408" s="80"/>
      <c r="G408" s="80"/>
      <c r="H408" s="80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>
      <c r="A409" s="4"/>
      <c r="B409" s="4"/>
      <c r="C409" s="80"/>
      <c r="D409" s="80"/>
      <c r="E409" s="80"/>
      <c r="F409" s="80"/>
      <c r="G409" s="80"/>
      <c r="H409" s="80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>
      <c r="A410" s="4"/>
      <c r="B410" s="4"/>
      <c r="C410" s="80"/>
      <c r="D410" s="80"/>
      <c r="E410" s="80"/>
      <c r="F410" s="80"/>
      <c r="G410" s="80"/>
      <c r="H410" s="80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>
      <c r="A411" s="4"/>
      <c r="B411" s="4"/>
      <c r="C411" s="80"/>
      <c r="D411" s="80"/>
      <c r="E411" s="80"/>
      <c r="F411" s="80"/>
      <c r="G411" s="80"/>
      <c r="H411" s="80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>
      <c r="A412" s="4"/>
      <c r="B412" s="4"/>
      <c r="C412" s="80"/>
      <c r="D412" s="80"/>
      <c r="E412" s="80"/>
      <c r="F412" s="80"/>
      <c r="G412" s="80"/>
      <c r="H412" s="80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>
      <c r="A413" s="4"/>
      <c r="B413" s="4"/>
      <c r="C413" s="80"/>
      <c r="D413" s="80"/>
      <c r="E413" s="80"/>
      <c r="F413" s="80"/>
      <c r="G413" s="80"/>
      <c r="H413" s="80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>
      <c r="A414" s="4"/>
      <c r="B414" s="4"/>
      <c r="C414" s="80"/>
      <c r="D414" s="80"/>
      <c r="E414" s="80"/>
      <c r="F414" s="80"/>
      <c r="G414" s="80"/>
      <c r="H414" s="80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>
      <c r="A415" s="4"/>
      <c r="B415" s="4"/>
      <c r="C415" s="80"/>
      <c r="D415" s="80"/>
      <c r="E415" s="80"/>
      <c r="F415" s="80"/>
      <c r="G415" s="80"/>
      <c r="H415" s="80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>
      <c r="A416" s="4"/>
      <c r="B416" s="4"/>
      <c r="C416" s="80"/>
      <c r="D416" s="80"/>
      <c r="E416" s="80"/>
      <c r="F416" s="80"/>
      <c r="G416" s="80"/>
      <c r="H416" s="80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>
      <c r="A417" s="4"/>
      <c r="B417" s="4"/>
      <c r="C417" s="80"/>
      <c r="D417" s="80"/>
      <c r="E417" s="80"/>
      <c r="F417" s="80"/>
      <c r="G417" s="80"/>
      <c r="H417" s="80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>
      <c r="A418" s="4"/>
      <c r="B418" s="4"/>
      <c r="C418" s="80"/>
      <c r="D418" s="80"/>
      <c r="E418" s="80"/>
      <c r="F418" s="80"/>
      <c r="G418" s="80"/>
      <c r="H418" s="80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>
      <c r="A419" s="4"/>
      <c r="B419" s="4"/>
      <c r="C419" s="80"/>
      <c r="D419" s="80"/>
      <c r="E419" s="80"/>
      <c r="F419" s="80"/>
      <c r="G419" s="80"/>
      <c r="H419" s="80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>
      <c r="A420" s="4"/>
      <c r="B420" s="4"/>
      <c r="C420" s="80"/>
      <c r="D420" s="80"/>
      <c r="E420" s="80"/>
      <c r="F420" s="80"/>
      <c r="G420" s="80"/>
      <c r="H420" s="80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>
      <c r="A421" s="4"/>
      <c r="B421" s="4"/>
      <c r="C421" s="80"/>
      <c r="D421" s="80"/>
      <c r="E421" s="80"/>
      <c r="F421" s="80"/>
      <c r="G421" s="80"/>
      <c r="H421" s="80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>
      <c r="A422" s="4"/>
      <c r="B422" s="4"/>
      <c r="C422" s="80"/>
      <c r="D422" s="80"/>
      <c r="E422" s="80"/>
      <c r="F422" s="80"/>
      <c r="G422" s="80"/>
      <c r="H422" s="80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>
      <c r="A423" s="4"/>
      <c r="B423" s="4"/>
      <c r="C423" s="80"/>
      <c r="D423" s="80"/>
      <c r="E423" s="80"/>
      <c r="F423" s="80"/>
      <c r="G423" s="80"/>
      <c r="H423" s="80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>
      <c r="A424" s="4"/>
      <c r="B424" s="4"/>
      <c r="C424" s="80"/>
      <c r="D424" s="80"/>
      <c r="E424" s="80"/>
      <c r="F424" s="80"/>
      <c r="G424" s="80"/>
      <c r="H424" s="80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>
      <c r="A425" s="4"/>
      <c r="B425" s="4"/>
      <c r="C425" s="80"/>
      <c r="D425" s="80"/>
      <c r="E425" s="80"/>
      <c r="F425" s="80"/>
      <c r="G425" s="80"/>
      <c r="H425" s="80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>
      <c r="A426" s="4"/>
      <c r="B426" s="4"/>
      <c r="C426" s="80"/>
      <c r="D426" s="80"/>
      <c r="E426" s="80"/>
      <c r="F426" s="80"/>
      <c r="G426" s="80"/>
      <c r="H426" s="80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>
      <c r="A427" s="4"/>
      <c r="B427" s="4"/>
      <c r="C427" s="80"/>
      <c r="D427" s="80"/>
      <c r="E427" s="80"/>
      <c r="F427" s="80"/>
      <c r="G427" s="80"/>
      <c r="H427" s="80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>
      <c r="A428" s="4"/>
      <c r="B428" s="4"/>
      <c r="C428" s="80"/>
      <c r="D428" s="80"/>
      <c r="E428" s="80"/>
      <c r="F428" s="80"/>
      <c r="G428" s="80"/>
      <c r="H428" s="80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>
      <c r="A429" s="4"/>
      <c r="B429" s="4"/>
      <c r="C429" s="80"/>
      <c r="D429" s="80"/>
      <c r="E429" s="80"/>
      <c r="F429" s="80"/>
      <c r="G429" s="80"/>
      <c r="H429" s="80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>
      <c r="A430" s="4"/>
      <c r="B430" s="4"/>
      <c r="C430" s="80"/>
      <c r="D430" s="80"/>
      <c r="E430" s="80"/>
      <c r="F430" s="80"/>
      <c r="G430" s="80"/>
      <c r="H430" s="80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>
      <c r="A431" s="4"/>
      <c r="B431" s="4"/>
      <c r="C431" s="80"/>
      <c r="D431" s="80"/>
      <c r="E431" s="80"/>
      <c r="F431" s="80"/>
      <c r="G431" s="80"/>
      <c r="H431" s="80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>
      <c r="A432" s="4"/>
      <c r="B432" s="4"/>
      <c r="C432" s="80"/>
      <c r="D432" s="80"/>
      <c r="E432" s="80"/>
      <c r="F432" s="80"/>
      <c r="G432" s="80"/>
      <c r="H432" s="80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>
      <c r="A433" s="4"/>
      <c r="B433" s="4"/>
      <c r="C433" s="80"/>
      <c r="D433" s="80"/>
      <c r="E433" s="80"/>
      <c r="F433" s="80"/>
      <c r="G433" s="80"/>
      <c r="H433" s="80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>
      <c r="A434" s="4"/>
      <c r="B434" s="4"/>
      <c r="C434" s="80"/>
      <c r="D434" s="80"/>
      <c r="E434" s="80"/>
      <c r="F434" s="80"/>
      <c r="G434" s="80"/>
      <c r="H434" s="80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>
      <c r="A435" s="4"/>
      <c r="B435" s="4"/>
      <c r="C435" s="80"/>
      <c r="D435" s="80"/>
      <c r="E435" s="80"/>
      <c r="F435" s="80"/>
      <c r="G435" s="80"/>
      <c r="H435" s="80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>
      <c r="A436" s="4"/>
      <c r="B436" s="4"/>
      <c r="C436" s="80"/>
      <c r="D436" s="80"/>
      <c r="E436" s="80"/>
      <c r="F436" s="80"/>
      <c r="G436" s="80"/>
      <c r="H436" s="80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>
      <c r="A437" s="4"/>
      <c r="B437" s="4"/>
      <c r="C437" s="80"/>
      <c r="D437" s="80"/>
      <c r="E437" s="80"/>
      <c r="F437" s="80"/>
      <c r="G437" s="80"/>
      <c r="H437" s="80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>
      <c r="A438" s="4"/>
      <c r="B438" s="4"/>
      <c r="C438" s="80"/>
      <c r="D438" s="80"/>
      <c r="E438" s="80"/>
      <c r="F438" s="80"/>
      <c r="G438" s="80"/>
      <c r="H438" s="80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>
      <c r="A439" s="4"/>
      <c r="B439" s="4"/>
      <c r="C439" s="80"/>
      <c r="D439" s="80"/>
      <c r="E439" s="80"/>
      <c r="F439" s="80"/>
      <c r="G439" s="80"/>
      <c r="H439" s="80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>
      <c r="A440" s="4"/>
      <c r="B440" s="4"/>
      <c r="C440" s="80"/>
      <c r="D440" s="80"/>
      <c r="E440" s="80"/>
      <c r="F440" s="80"/>
      <c r="G440" s="80"/>
      <c r="H440" s="80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>
      <c r="A441" s="4"/>
      <c r="B441" s="4"/>
      <c r="C441" s="80"/>
      <c r="D441" s="80"/>
      <c r="E441" s="80"/>
      <c r="F441" s="80"/>
      <c r="G441" s="80"/>
      <c r="H441" s="80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>
      <c r="A442" s="4"/>
      <c r="B442" s="4"/>
      <c r="C442" s="80"/>
      <c r="D442" s="80"/>
      <c r="E442" s="80"/>
      <c r="F442" s="80"/>
      <c r="G442" s="80"/>
      <c r="H442" s="80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>
      <c r="A443" s="4"/>
      <c r="B443" s="4"/>
      <c r="C443" s="80"/>
      <c r="D443" s="80"/>
      <c r="E443" s="80"/>
      <c r="F443" s="80"/>
      <c r="G443" s="80"/>
      <c r="H443" s="80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>
      <c r="A444" s="4"/>
      <c r="B444" s="4"/>
      <c r="C444" s="80"/>
      <c r="D444" s="80"/>
      <c r="E444" s="80"/>
      <c r="F444" s="80"/>
      <c r="G444" s="80"/>
      <c r="H444" s="80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>
      <c r="A445" s="4"/>
      <c r="B445" s="4"/>
      <c r="C445" s="80"/>
      <c r="D445" s="80"/>
      <c r="E445" s="80"/>
      <c r="F445" s="80"/>
      <c r="G445" s="80"/>
      <c r="H445" s="80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>
      <c r="A446" s="4"/>
      <c r="B446" s="4"/>
      <c r="C446" s="80"/>
      <c r="D446" s="80"/>
      <c r="E446" s="80"/>
      <c r="F446" s="80"/>
      <c r="G446" s="80"/>
      <c r="H446" s="80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>
      <c r="A447" s="4"/>
      <c r="B447" s="4"/>
      <c r="C447" s="80"/>
      <c r="D447" s="80"/>
      <c r="E447" s="80"/>
      <c r="F447" s="80"/>
      <c r="G447" s="80"/>
      <c r="H447" s="80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>
      <c r="A448" s="4"/>
      <c r="B448" s="4"/>
      <c r="C448" s="80"/>
      <c r="D448" s="80"/>
      <c r="E448" s="80"/>
      <c r="F448" s="80"/>
      <c r="G448" s="80"/>
      <c r="H448" s="80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>
      <c r="A449" s="4"/>
      <c r="B449" s="4"/>
      <c r="C449" s="80"/>
      <c r="D449" s="80"/>
      <c r="E449" s="80"/>
      <c r="F449" s="80"/>
      <c r="G449" s="80"/>
      <c r="H449" s="80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>
      <c r="A450" s="4"/>
      <c r="B450" s="4"/>
      <c r="C450" s="80"/>
      <c r="D450" s="80"/>
      <c r="E450" s="80"/>
      <c r="F450" s="80"/>
      <c r="G450" s="80"/>
      <c r="H450" s="80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>
      <c r="A451" s="4"/>
      <c r="B451" s="4"/>
      <c r="C451" s="80"/>
      <c r="D451" s="80"/>
      <c r="E451" s="80"/>
      <c r="F451" s="80"/>
      <c r="G451" s="80"/>
      <c r="H451" s="80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>
      <c r="A452" s="4"/>
      <c r="B452" s="4"/>
      <c r="C452" s="80"/>
      <c r="D452" s="80"/>
      <c r="E452" s="80"/>
      <c r="F452" s="80"/>
      <c r="G452" s="80"/>
      <c r="H452" s="80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>
      <c r="A453" s="4"/>
      <c r="B453" s="4"/>
      <c r="C453" s="80"/>
      <c r="D453" s="80"/>
      <c r="E453" s="80"/>
      <c r="F453" s="80"/>
      <c r="G453" s="80"/>
      <c r="H453" s="80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>
      <c r="A454" s="4"/>
      <c r="B454" s="4"/>
      <c r="C454" s="80"/>
      <c r="D454" s="80"/>
      <c r="E454" s="80"/>
      <c r="F454" s="80"/>
      <c r="G454" s="80"/>
      <c r="H454" s="80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>
      <c r="A455" s="4"/>
      <c r="B455" s="4"/>
      <c r="C455" s="80"/>
      <c r="D455" s="80"/>
      <c r="E455" s="80"/>
      <c r="F455" s="80"/>
      <c r="G455" s="80"/>
      <c r="H455" s="80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>
      <c r="A456" s="4"/>
      <c r="B456" s="4"/>
      <c r="C456" s="80"/>
      <c r="D456" s="80"/>
      <c r="E456" s="80"/>
      <c r="F456" s="80"/>
      <c r="G456" s="80"/>
      <c r="H456" s="80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>
      <c r="A457" s="4"/>
      <c r="B457" s="4"/>
      <c r="C457" s="80"/>
      <c r="D457" s="80"/>
      <c r="E457" s="80"/>
      <c r="F457" s="80"/>
      <c r="G457" s="80"/>
      <c r="H457" s="80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>
      <c r="A458" s="4"/>
      <c r="B458" s="4"/>
      <c r="C458" s="80"/>
      <c r="D458" s="80"/>
      <c r="E458" s="80"/>
      <c r="F458" s="80"/>
      <c r="G458" s="80"/>
      <c r="H458" s="80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>
      <c r="A459" s="4"/>
      <c r="B459" s="4"/>
      <c r="C459" s="80"/>
      <c r="D459" s="80"/>
      <c r="E459" s="80"/>
      <c r="F459" s="80"/>
      <c r="G459" s="80"/>
      <c r="H459" s="80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>
      <c r="A460" s="4"/>
      <c r="B460" s="4"/>
      <c r="C460" s="80"/>
      <c r="D460" s="80"/>
      <c r="E460" s="80"/>
      <c r="F460" s="80"/>
      <c r="G460" s="80"/>
      <c r="H460" s="80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>
      <c r="A461" s="4"/>
      <c r="B461" s="4"/>
      <c r="C461" s="80"/>
      <c r="D461" s="80"/>
      <c r="E461" s="80"/>
      <c r="F461" s="80"/>
      <c r="G461" s="80"/>
      <c r="H461" s="80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>
      <c r="A462" s="4"/>
      <c r="B462" s="4"/>
      <c r="C462" s="80"/>
      <c r="D462" s="80"/>
      <c r="E462" s="80"/>
      <c r="F462" s="80"/>
      <c r="G462" s="80"/>
      <c r="H462" s="80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>
      <c r="A463" s="4"/>
      <c r="B463" s="4"/>
      <c r="C463" s="80"/>
      <c r="D463" s="80"/>
      <c r="E463" s="80"/>
      <c r="F463" s="80"/>
      <c r="G463" s="80"/>
      <c r="H463" s="80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>
      <c r="A464" s="4"/>
      <c r="B464" s="4"/>
      <c r="C464" s="80"/>
      <c r="D464" s="80"/>
      <c r="E464" s="80"/>
      <c r="F464" s="80"/>
      <c r="G464" s="80"/>
      <c r="H464" s="80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>
      <c r="A465" s="4"/>
      <c r="B465" s="4"/>
      <c r="C465" s="80"/>
      <c r="D465" s="80"/>
      <c r="E465" s="80"/>
      <c r="F465" s="80"/>
      <c r="G465" s="80"/>
      <c r="H465" s="80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>
      <c r="A466" s="4"/>
      <c r="B466" s="4"/>
      <c r="C466" s="80"/>
      <c r="D466" s="80"/>
      <c r="E466" s="80"/>
      <c r="F466" s="80"/>
      <c r="G466" s="80"/>
      <c r="H466" s="80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>
      <c r="A467" s="4"/>
      <c r="B467" s="4"/>
      <c r="C467" s="80"/>
      <c r="D467" s="80"/>
      <c r="E467" s="80"/>
      <c r="F467" s="80"/>
      <c r="G467" s="80"/>
      <c r="H467" s="80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>
      <c r="A468" s="4"/>
      <c r="B468" s="4"/>
      <c r="C468" s="80"/>
      <c r="D468" s="80"/>
      <c r="E468" s="80"/>
      <c r="F468" s="80"/>
      <c r="G468" s="80"/>
      <c r="H468" s="80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>
      <c r="A469" s="4"/>
      <c r="B469" s="4"/>
      <c r="C469" s="80"/>
      <c r="D469" s="80"/>
      <c r="E469" s="80"/>
      <c r="F469" s="80"/>
      <c r="G469" s="80"/>
      <c r="H469" s="80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>
      <c r="A470" s="4"/>
      <c r="B470" s="4"/>
      <c r="C470" s="80"/>
      <c r="D470" s="80"/>
      <c r="E470" s="80"/>
      <c r="F470" s="80"/>
      <c r="G470" s="80"/>
      <c r="H470" s="80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>
      <c r="A471" s="4"/>
      <c r="B471" s="4"/>
      <c r="C471" s="80"/>
      <c r="D471" s="80"/>
      <c r="E471" s="80"/>
      <c r="F471" s="80"/>
      <c r="G471" s="80"/>
      <c r="H471" s="80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>
      <c r="A472" s="4"/>
      <c r="B472" s="4"/>
      <c r="C472" s="80"/>
      <c r="D472" s="80"/>
      <c r="E472" s="80"/>
      <c r="F472" s="80"/>
      <c r="G472" s="80"/>
      <c r="H472" s="80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>
      <c r="A473" s="4"/>
      <c r="B473" s="4"/>
      <c r="C473" s="80"/>
      <c r="D473" s="80"/>
      <c r="E473" s="80"/>
      <c r="F473" s="80"/>
      <c r="G473" s="80"/>
      <c r="H473" s="80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>
      <c r="A474" s="4"/>
      <c r="B474" s="4"/>
      <c r="C474" s="80"/>
      <c r="D474" s="80"/>
      <c r="E474" s="80"/>
      <c r="F474" s="80"/>
      <c r="G474" s="80"/>
      <c r="H474" s="80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>
      <c r="A475" s="4"/>
      <c r="B475" s="4"/>
      <c r="C475" s="80"/>
      <c r="D475" s="80"/>
      <c r="E475" s="80"/>
      <c r="F475" s="80"/>
      <c r="G475" s="80"/>
      <c r="H475" s="80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>
      <c r="A476" s="4"/>
      <c r="B476" s="4"/>
      <c r="C476" s="80"/>
      <c r="D476" s="80"/>
      <c r="E476" s="80"/>
      <c r="F476" s="80"/>
      <c r="G476" s="80"/>
      <c r="H476" s="80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>
      <c r="A477" s="4"/>
      <c r="B477" s="4"/>
      <c r="C477" s="80"/>
      <c r="D477" s="80"/>
      <c r="E477" s="80"/>
      <c r="F477" s="80"/>
      <c r="G477" s="80"/>
      <c r="H477" s="80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>
      <c r="A478" s="4"/>
      <c r="B478" s="4"/>
      <c r="C478" s="80"/>
      <c r="D478" s="80"/>
      <c r="E478" s="80"/>
      <c r="F478" s="80"/>
      <c r="G478" s="80"/>
      <c r="H478" s="80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>
      <c r="A479" s="4"/>
      <c r="B479" s="4"/>
      <c r="C479" s="80"/>
      <c r="D479" s="80"/>
      <c r="E479" s="80"/>
      <c r="F479" s="80"/>
      <c r="G479" s="80"/>
      <c r="H479" s="80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>
      <c r="A480" s="4"/>
      <c r="B480" s="4"/>
      <c r="C480" s="80"/>
      <c r="D480" s="80"/>
      <c r="E480" s="80"/>
      <c r="F480" s="80"/>
      <c r="G480" s="80"/>
      <c r="H480" s="80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>
      <c r="A481" s="4"/>
      <c r="B481" s="4"/>
      <c r="C481" s="80"/>
      <c r="D481" s="80"/>
      <c r="E481" s="80"/>
      <c r="F481" s="80"/>
      <c r="G481" s="80"/>
      <c r="H481" s="80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>
      <c r="A482" s="4"/>
      <c r="B482" s="4"/>
      <c r="C482" s="80"/>
      <c r="D482" s="80"/>
      <c r="E482" s="80"/>
      <c r="F482" s="80"/>
      <c r="G482" s="80"/>
      <c r="H482" s="80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>
      <c r="A483" s="4"/>
      <c r="B483" s="4"/>
      <c r="C483" s="80"/>
      <c r="D483" s="80"/>
      <c r="E483" s="80"/>
      <c r="F483" s="80"/>
      <c r="G483" s="80"/>
      <c r="H483" s="80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>
      <c r="A484" s="4"/>
      <c r="B484" s="4"/>
      <c r="C484" s="80"/>
      <c r="D484" s="80"/>
      <c r="E484" s="80"/>
      <c r="F484" s="80"/>
      <c r="G484" s="80"/>
      <c r="H484" s="80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>
      <c r="A485" s="4"/>
      <c r="B485" s="4"/>
      <c r="C485" s="80"/>
      <c r="D485" s="80"/>
      <c r="E485" s="80"/>
      <c r="F485" s="80"/>
      <c r="G485" s="80"/>
      <c r="H485" s="80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>
      <c r="A486" s="4"/>
      <c r="B486" s="4"/>
      <c r="C486" s="80"/>
      <c r="D486" s="80"/>
      <c r="E486" s="80"/>
      <c r="F486" s="80"/>
      <c r="G486" s="80"/>
      <c r="H486" s="80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>
      <c r="A487" s="4"/>
      <c r="B487" s="4"/>
      <c r="C487" s="80"/>
      <c r="D487" s="80"/>
      <c r="E487" s="80"/>
      <c r="F487" s="80"/>
      <c r="G487" s="80"/>
      <c r="H487" s="80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>
      <c r="A488" s="4"/>
      <c r="B488" s="4"/>
      <c r="C488" s="80"/>
      <c r="D488" s="80"/>
      <c r="E488" s="80"/>
      <c r="F488" s="80"/>
      <c r="G488" s="80"/>
      <c r="H488" s="80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>
      <c r="A489" s="4"/>
      <c r="B489" s="4"/>
      <c r="C489" s="80"/>
      <c r="D489" s="80"/>
      <c r="E489" s="80"/>
      <c r="F489" s="80"/>
      <c r="G489" s="80"/>
      <c r="H489" s="80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>
      <c r="A490" s="4"/>
      <c r="B490" s="4"/>
      <c r="C490" s="80"/>
      <c r="D490" s="80"/>
      <c r="E490" s="80"/>
      <c r="F490" s="80"/>
      <c r="G490" s="80"/>
      <c r="H490" s="80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>
      <c r="A491" s="4"/>
      <c r="B491" s="4"/>
      <c r="C491" s="80"/>
      <c r="D491" s="80"/>
      <c r="E491" s="80"/>
      <c r="F491" s="80"/>
      <c r="G491" s="80"/>
      <c r="H491" s="80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>
      <c r="A492" s="4"/>
      <c r="B492" s="4"/>
      <c r="C492" s="80"/>
      <c r="D492" s="80"/>
      <c r="E492" s="80"/>
      <c r="F492" s="80"/>
      <c r="G492" s="80"/>
      <c r="H492" s="80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>
      <c r="A493" s="4"/>
      <c r="B493" s="4"/>
      <c r="C493" s="80"/>
      <c r="D493" s="80"/>
      <c r="E493" s="80"/>
      <c r="F493" s="80"/>
      <c r="G493" s="80"/>
      <c r="H493" s="80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>
      <c r="A494" s="4"/>
      <c r="B494" s="4"/>
      <c r="C494" s="80"/>
      <c r="D494" s="80"/>
      <c r="E494" s="80"/>
      <c r="F494" s="80"/>
      <c r="G494" s="80"/>
      <c r="H494" s="80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>
      <c r="A495" s="4"/>
      <c r="B495" s="4"/>
      <c r="C495" s="80"/>
      <c r="D495" s="80"/>
      <c r="E495" s="80"/>
      <c r="F495" s="80"/>
      <c r="G495" s="80"/>
      <c r="H495" s="80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>
      <c r="A496" s="4"/>
      <c r="B496" s="4"/>
      <c r="C496" s="80"/>
      <c r="D496" s="80"/>
      <c r="E496" s="80"/>
      <c r="F496" s="80"/>
      <c r="G496" s="80"/>
      <c r="H496" s="80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>
      <c r="A497" s="4"/>
      <c r="B497" s="4"/>
      <c r="C497" s="80"/>
      <c r="D497" s="80"/>
      <c r="E497" s="80"/>
      <c r="F497" s="80"/>
      <c r="G497" s="80"/>
      <c r="H497" s="80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>
      <c r="A498" s="4"/>
      <c r="B498" s="4"/>
      <c r="C498" s="80"/>
      <c r="D498" s="80"/>
      <c r="E498" s="80"/>
      <c r="F498" s="80"/>
      <c r="G498" s="80"/>
      <c r="H498" s="80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>
      <c r="A499" s="4"/>
      <c r="B499" s="4"/>
      <c r="C499" s="80"/>
      <c r="D499" s="80"/>
      <c r="E499" s="80"/>
      <c r="F499" s="80"/>
      <c r="G499" s="80"/>
      <c r="H499" s="80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>
      <c r="A500" s="4"/>
      <c r="B500" s="4"/>
      <c r="C500" s="80"/>
      <c r="D500" s="80"/>
      <c r="E500" s="80"/>
      <c r="F500" s="80"/>
      <c r="G500" s="80"/>
      <c r="H500" s="80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>
      <c r="A501" s="4"/>
      <c r="B501" s="4"/>
      <c r="C501" s="80"/>
      <c r="D501" s="80"/>
      <c r="E501" s="80"/>
      <c r="F501" s="80"/>
      <c r="G501" s="80"/>
      <c r="H501" s="80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>
      <c r="A502" s="4"/>
      <c r="B502" s="4"/>
      <c r="C502" s="80"/>
      <c r="D502" s="80"/>
      <c r="E502" s="80"/>
      <c r="F502" s="80"/>
      <c r="G502" s="80"/>
      <c r="H502" s="80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>
      <c r="A503" s="4"/>
      <c r="B503" s="4"/>
      <c r="C503" s="80"/>
      <c r="D503" s="80"/>
      <c r="E503" s="80"/>
      <c r="F503" s="80"/>
      <c r="G503" s="80"/>
      <c r="H503" s="80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>
      <c r="A504" s="4"/>
      <c r="B504" s="4"/>
      <c r="C504" s="80"/>
      <c r="D504" s="80"/>
      <c r="E504" s="80"/>
      <c r="F504" s="80"/>
      <c r="G504" s="80"/>
      <c r="H504" s="80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>
      <c r="A505" s="4"/>
      <c r="B505" s="4"/>
      <c r="C505" s="80"/>
      <c r="D505" s="80"/>
      <c r="E505" s="80"/>
      <c r="F505" s="80"/>
      <c r="G505" s="80"/>
      <c r="H505" s="80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>
      <c r="A506" s="4"/>
      <c r="B506" s="4"/>
      <c r="C506" s="80"/>
      <c r="D506" s="80"/>
      <c r="E506" s="80"/>
      <c r="F506" s="80"/>
      <c r="G506" s="80"/>
      <c r="H506" s="80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>
      <c r="A507" s="4"/>
      <c r="B507" s="4"/>
      <c r="C507" s="80"/>
      <c r="D507" s="80"/>
      <c r="E507" s="80"/>
      <c r="F507" s="80"/>
      <c r="G507" s="80"/>
      <c r="H507" s="80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>
      <c r="A508" s="4"/>
      <c r="B508" s="4"/>
      <c r="C508" s="80"/>
      <c r="D508" s="80"/>
      <c r="E508" s="80"/>
      <c r="F508" s="80"/>
      <c r="G508" s="80"/>
      <c r="H508" s="80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>
      <c r="A509" s="4"/>
      <c r="B509" s="4"/>
      <c r="C509" s="80"/>
      <c r="D509" s="80"/>
      <c r="E509" s="80"/>
      <c r="F509" s="80"/>
      <c r="G509" s="80"/>
      <c r="H509" s="80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>
      <c r="A510" s="4"/>
      <c r="B510" s="4"/>
      <c r="C510" s="80"/>
      <c r="D510" s="80"/>
      <c r="E510" s="80"/>
      <c r="F510" s="80"/>
      <c r="G510" s="80"/>
      <c r="H510" s="80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>
      <c r="A511" s="4"/>
      <c r="B511" s="4"/>
      <c r="C511" s="80"/>
      <c r="D511" s="80"/>
      <c r="E511" s="80"/>
      <c r="F511" s="80"/>
      <c r="G511" s="80"/>
      <c r="H511" s="80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>
      <c r="A512" s="4"/>
      <c r="B512" s="4"/>
      <c r="C512" s="80"/>
      <c r="D512" s="80"/>
      <c r="E512" s="80"/>
      <c r="F512" s="80"/>
      <c r="G512" s="80"/>
      <c r="H512" s="80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>
      <c r="A513" s="4"/>
      <c r="B513" s="4"/>
      <c r="C513" s="80"/>
      <c r="D513" s="80"/>
      <c r="E513" s="80"/>
      <c r="F513" s="80"/>
      <c r="G513" s="80"/>
      <c r="H513" s="80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>
      <c r="A514" s="4"/>
      <c r="B514" s="4"/>
      <c r="C514" s="80"/>
      <c r="D514" s="80"/>
      <c r="E514" s="80"/>
      <c r="F514" s="80"/>
      <c r="G514" s="80"/>
      <c r="H514" s="80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>
      <c r="A515" s="4"/>
      <c r="B515" s="4"/>
      <c r="C515" s="80"/>
      <c r="D515" s="80"/>
      <c r="E515" s="80"/>
      <c r="F515" s="80"/>
      <c r="G515" s="80"/>
      <c r="H515" s="80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>
      <c r="A516" s="4"/>
      <c r="B516" s="4"/>
      <c r="C516" s="80"/>
      <c r="D516" s="80"/>
      <c r="E516" s="80"/>
      <c r="F516" s="80"/>
      <c r="G516" s="80"/>
      <c r="H516" s="80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>
      <c r="A517" s="4"/>
      <c r="B517" s="4"/>
      <c r="C517" s="80"/>
      <c r="D517" s="80"/>
      <c r="E517" s="80"/>
      <c r="F517" s="80"/>
      <c r="G517" s="80"/>
      <c r="H517" s="80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>
      <c r="A518" s="4"/>
      <c r="B518" s="4"/>
      <c r="C518" s="80"/>
      <c r="D518" s="80"/>
      <c r="E518" s="80"/>
      <c r="F518" s="80"/>
      <c r="G518" s="80"/>
      <c r="H518" s="80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>
      <c r="A519" s="4"/>
      <c r="B519" s="4"/>
      <c r="C519" s="80"/>
      <c r="D519" s="80"/>
      <c r="E519" s="80"/>
      <c r="F519" s="80"/>
      <c r="G519" s="80"/>
      <c r="H519" s="80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>
      <c r="A520" s="4"/>
      <c r="B520" s="4"/>
      <c r="C520" s="80"/>
      <c r="D520" s="80"/>
      <c r="E520" s="80"/>
      <c r="F520" s="80"/>
      <c r="G520" s="80"/>
      <c r="H520" s="80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>
      <c r="A521" s="4"/>
      <c r="B521" s="4"/>
      <c r="C521" s="80"/>
      <c r="D521" s="80"/>
      <c r="E521" s="80"/>
      <c r="F521" s="80"/>
      <c r="G521" s="80"/>
      <c r="H521" s="80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>
      <c r="A522" s="4"/>
      <c r="B522" s="4"/>
      <c r="C522" s="80"/>
      <c r="D522" s="80"/>
      <c r="E522" s="80"/>
      <c r="F522" s="80"/>
      <c r="G522" s="80"/>
      <c r="H522" s="80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>
      <c r="A523" s="4"/>
      <c r="B523" s="4"/>
      <c r="C523" s="80"/>
      <c r="D523" s="80"/>
      <c r="E523" s="80"/>
      <c r="F523" s="80"/>
      <c r="G523" s="80"/>
      <c r="H523" s="80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>
      <c r="A524" s="4"/>
      <c r="B524" s="4"/>
      <c r="C524" s="80"/>
      <c r="D524" s="80"/>
      <c r="E524" s="80"/>
      <c r="F524" s="80"/>
      <c r="G524" s="80"/>
      <c r="H524" s="80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>
      <c r="A525" s="4"/>
      <c r="B525" s="4"/>
      <c r="C525" s="80"/>
      <c r="D525" s="80"/>
      <c r="E525" s="80"/>
      <c r="F525" s="80"/>
      <c r="G525" s="80"/>
      <c r="H525" s="80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>
      <c r="A526" s="4"/>
      <c r="B526" s="4"/>
      <c r="C526" s="80"/>
      <c r="D526" s="80"/>
      <c r="E526" s="80"/>
      <c r="F526" s="80"/>
      <c r="G526" s="80"/>
      <c r="H526" s="80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>
      <c r="A527" s="4"/>
      <c r="B527" s="4"/>
      <c r="C527" s="80"/>
      <c r="D527" s="80"/>
      <c r="E527" s="80"/>
      <c r="F527" s="80"/>
      <c r="G527" s="80"/>
      <c r="H527" s="80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>
      <c r="A528" s="4"/>
      <c r="B528" s="4"/>
      <c r="C528" s="80"/>
      <c r="D528" s="80"/>
      <c r="E528" s="80"/>
      <c r="F528" s="80"/>
      <c r="G528" s="80"/>
      <c r="H528" s="80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>
      <c r="A529" s="4"/>
      <c r="B529" s="4"/>
      <c r="C529" s="80"/>
      <c r="D529" s="80"/>
      <c r="E529" s="80"/>
      <c r="F529" s="80"/>
      <c r="G529" s="80"/>
      <c r="H529" s="80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>
      <c r="A530" s="4"/>
      <c r="B530" s="4"/>
      <c r="C530" s="80"/>
      <c r="D530" s="80"/>
      <c r="E530" s="80"/>
      <c r="F530" s="80"/>
      <c r="G530" s="80"/>
      <c r="H530" s="80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>
      <c r="A531" s="4"/>
      <c r="B531" s="4"/>
      <c r="C531" s="80"/>
      <c r="D531" s="80"/>
      <c r="E531" s="80"/>
      <c r="F531" s="80"/>
      <c r="G531" s="80"/>
      <c r="H531" s="80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>
      <c r="A532" s="4"/>
      <c r="B532" s="4"/>
      <c r="C532" s="80"/>
      <c r="D532" s="80"/>
      <c r="E532" s="80"/>
      <c r="F532" s="80"/>
      <c r="G532" s="80"/>
      <c r="H532" s="80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>
      <c r="A533" s="4"/>
      <c r="B533" s="4"/>
      <c r="C533" s="80"/>
      <c r="D533" s="80"/>
      <c r="E533" s="80"/>
      <c r="F533" s="80"/>
      <c r="G533" s="80"/>
      <c r="H533" s="80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>
      <c r="A534" s="4"/>
      <c r="B534" s="4"/>
      <c r="C534" s="80"/>
      <c r="D534" s="80"/>
      <c r="E534" s="80"/>
      <c r="F534" s="80"/>
      <c r="G534" s="80"/>
      <c r="H534" s="80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>
      <c r="A535" s="4"/>
      <c r="B535" s="4"/>
      <c r="C535" s="80"/>
      <c r="D535" s="80"/>
      <c r="E535" s="80"/>
      <c r="F535" s="80"/>
      <c r="G535" s="80"/>
      <c r="H535" s="80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>
      <c r="A536" s="4"/>
      <c r="B536" s="4"/>
      <c r="C536" s="80"/>
      <c r="D536" s="80"/>
      <c r="E536" s="80"/>
      <c r="F536" s="80"/>
      <c r="G536" s="80"/>
      <c r="H536" s="80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>
      <c r="A537" s="4"/>
      <c r="B537" s="4"/>
      <c r="C537" s="80"/>
      <c r="D537" s="80"/>
      <c r="E537" s="80"/>
      <c r="F537" s="80"/>
      <c r="G537" s="80"/>
      <c r="H537" s="80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>
      <c r="A538" s="4"/>
      <c r="B538" s="4"/>
      <c r="C538" s="80"/>
      <c r="D538" s="80"/>
      <c r="E538" s="80"/>
      <c r="F538" s="80"/>
      <c r="G538" s="80"/>
      <c r="H538" s="80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>
      <c r="A539" s="4"/>
      <c r="B539" s="4"/>
      <c r="C539" s="80"/>
      <c r="D539" s="80"/>
      <c r="E539" s="80"/>
      <c r="F539" s="80"/>
      <c r="G539" s="80"/>
      <c r="H539" s="80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>
      <c r="A540" s="4"/>
      <c r="B540" s="4"/>
      <c r="C540" s="80"/>
      <c r="D540" s="80"/>
      <c r="E540" s="80"/>
      <c r="F540" s="80"/>
      <c r="G540" s="80"/>
      <c r="H540" s="80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>
      <c r="A541" s="4"/>
      <c r="B541" s="4"/>
      <c r="C541" s="80"/>
      <c r="D541" s="80"/>
      <c r="E541" s="80"/>
      <c r="F541" s="80"/>
      <c r="G541" s="80"/>
      <c r="H541" s="80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>
      <c r="A542" s="4"/>
      <c r="B542" s="4"/>
      <c r="C542" s="80"/>
      <c r="D542" s="80"/>
      <c r="E542" s="80"/>
      <c r="F542" s="80"/>
      <c r="G542" s="80"/>
      <c r="H542" s="80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>
      <c r="A543" s="4"/>
      <c r="B543" s="4"/>
      <c r="C543" s="80"/>
      <c r="D543" s="80"/>
      <c r="E543" s="80"/>
      <c r="F543" s="80"/>
      <c r="G543" s="80"/>
      <c r="H543" s="80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>
      <c r="A544" s="4"/>
      <c r="B544" s="4"/>
      <c r="C544" s="80"/>
      <c r="D544" s="80"/>
      <c r="E544" s="80"/>
      <c r="F544" s="80"/>
      <c r="G544" s="80"/>
      <c r="H544" s="80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>
      <c r="A545" s="4"/>
      <c r="B545" s="4"/>
      <c r="C545" s="80"/>
      <c r="D545" s="80"/>
      <c r="E545" s="80"/>
      <c r="F545" s="80"/>
      <c r="G545" s="80"/>
      <c r="H545" s="80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>
      <c r="A546" s="4"/>
      <c r="B546" s="4"/>
      <c r="C546" s="80"/>
      <c r="D546" s="80"/>
      <c r="E546" s="80"/>
      <c r="F546" s="80"/>
      <c r="G546" s="80"/>
      <c r="H546" s="80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>
      <c r="A547" s="4"/>
      <c r="B547" s="4"/>
      <c r="C547" s="80"/>
      <c r="D547" s="80"/>
      <c r="E547" s="80"/>
      <c r="F547" s="80"/>
      <c r="G547" s="80"/>
      <c r="H547" s="80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>
      <c r="A548" s="4"/>
      <c r="B548" s="4"/>
      <c r="C548" s="80"/>
      <c r="D548" s="80"/>
      <c r="E548" s="80"/>
      <c r="F548" s="80"/>
      <c r="G548" s="80"/>
      <c r="H548" s="80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>
      <c r="A549" s="4"/>
      <c r="B549" s="4"/>
      <c r="C549" s="80"/>
      <c r="D549" s="80"/>
      <c r="E549" s="80"/>
      <c r="F549" s="80"/>
      <c r="G549" s="80"/>
      <c r="H549" s="80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>
      <c r="A550" s="4"/>
      <c r="B550" s="4"/>
      <c r="C550" s="80"/>
      <c r="D550" s="80"/>
      <c r="E550" s="80"/>
      <c r="F550" s="80"/>
      <c r="G550" s="80"/>
      <c r="H550" s="80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>
      <c r="A551" s="4"/>
      <c r="B551" s="4"/>
      <c r="C551" s="80"/>
      <c r="D551" s="80"/>
      <c r="E551" s="80"/>
      <c r="F551" s="80"/>
      <c r="G551" s="80"/>
      <c r="H551" s="80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>
      <c r="A552" s="4"/>
      <c r="B552" s="4"/>
      <c r="C552" s="80"/>
      <c r="D552" s="80"/>
      <c r="E552" s="80"/>
      <c r="F552" s="80"/>
      <c r="G552" s="80"/>
      <c r="H552" s="80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>
      <c r="A553" s="4"/>
      <c r="B553" s="4"/>
      <c r="C553" s="80"/>
      <c r="D553" s="80"/>
      <c r="E553" s="80"/>
      <c r="F553" s="80"/>
      <c r="G553" s="80"/>
      <c r="H553" s="80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>
      <c r="A554" s="4"/>
      <c r="B554" s="4"/>
      <c r="C554" s="80"/>
      <c r="D554" s="80"/>
      <c r="E554" s="80"/>
      <c r="F554" s="80"/>
      <c r="G554" s="80"/>
      <c r="H554" s="80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>
      <c r="A555" s="4"/>
      <c r="B555" s="4"/>
      <c r="C555" s="80"/>
      <c r="D555" s="80"/>
      <c r="E555" s="80"/>
      <c r="F555" s="80"/>
      <c r="G555" s="80"/>
      <c r="H555" s="80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>
      <c r="A556" s="4"/>
      <c r="B556" s="4"/>
      <c r="C556" s="80"/>
      <c r="D556" s="80"/>
      <c r="E556" s="80"/>
      <c r="F556" s="80"/>
      <c r="G556" s="80"/>
      <c r="H556" s="80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>
      <c r="A557" s="4"/>
      <c r="B557" s="4"/>
      <c r="C557" s="80"/>
      <c r="D557" s="80"/>
      <c r="E557" s="80"/>
      <c r="F557" s="80"/>
      <c r="G557" s="80"/>
      <c r="H557" s="80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>
      <c r="A558" s="4"/>
      <c r="B558" s="4"/>
      <c r="C558" s="80"/>
      <c r="D558" s="80"/>
      <c r="E558" s="80"/>
      <c r="F558" s="80"/>
      <c r="G558" s="80"/>
      <c r="H558" s="80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>
      <c r="A559" s="4"/>
      <c r="B559" s="4"/>
      <c r="C559" s="80"/>
      <c r="D559" s="80"/>
      <c r="E559" s="80"/>
      <c r="F559" s="80"/>
      <c r="G559" s="80"/>
      <c r="H559" s="80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>
      <c r="A560" s="4"/>
      <c r="B560" s="4"/>
      <c r="C560" s="80"/>
      <c r="D560" s="80"/>
      <c r="E560" s="80"/>
      <c r="F560" s="80"/>
      <c r="G560" s="80"/>
      <c r="H560" s="80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>
      <c r="A561" s="4"/>
      <c r="B561" s="4"/>
      <c r="C561" s="80"/>
      <c r="D561" s="80"/>
      <c r="E561" s="80"/>
      <c r="F561" s="80"/>
      <c r="G561" s="80"/>
      <c r="H561" s="80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>
      <c r="A562" s="4"/>
      <c r="B562" s="4"/>
      <c r="C562" s="80"/>
      <c r="D562" s="80"/>
      <c r="E562" s="80"/>
      <c r="F562" s="80"/>
      <c r="G562" s="80"/>
      <c r="H562" s="80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>
      <c r="A563" s="4"/>
      <c r="B563" s="4"/>
      <c r="C563" s="80"/>
      <c r="D563" s="80"/>
      <c r="E563" s="80"/>
      <c r="F563" s="80"/>
      <c r="G563" s="80"/>
      <c r="H563" s="80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>
      <c r="A564" s="4"/>
      <c r="B564" s="4"/>
      <c r="C564" s="80"/>
      <c r="D564" s="80"/>
      <c r="E564" s="80"/>
      <c r="F564" s="80"/>
      <c r="G564" s="80"/>
      <c r="H564" s="80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>
      <c r="A565" s="4"/>
      <c r="B565" s="4"/>
      <c r="C565" s="80"/>
      <c r="D565" s="80"/>
      <c r="E565" s="80"/>
      <c r="F565" s="80"/>
      <c r="G565" s="80"/>
      <c r="H565" s="80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>
      <c r="A566" s="4"/>
      <c r="B566" s="4"/>
      <c r="C566" s="80"/>
      <c r="D566" s="80"/>
      <c r="E566" s="80"/>
      <c r="F566" s="80"/>
      <c r="G566" s="80"/>
      <c r="H566" s="80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>
      <c r="A567" s="4"/>
      <c r="B567" s="4"/>
      <c r="C567" s="80"/>
      <c r="D567" s="80"/>
      <c r="E567" s="80"/>
      <c r="F567" s="80"/>
      <c r="G567" s="80"/>
      <c r="H567" s="80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>
      <c r="A568" s="4"/>
      <c r="B568" s="4"/>
      <c r="C568" s="80"/>
      <c r="D568" s="80"/>
      <c r="E568" s="80"/>
      <c r="F568" s="80"/>
      <c r="G568" s="80"/>
      <c r="H568" s="80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>
      <c r="A569" s="4"/>
      <c r="B569" s="4"/>
      <c r="C569" s="80"/>
      <c r="D569" s="80"/>
      <c r="E569" s="80"/>
      <c r="F569" s="80"/>
      <c r="G569" s="80"/>
      <c r="H569" s="80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>
      <c r="A570" s="4"/>
      <c r="B570" s="4"/>
      <c r="C570" s="80"/>
      <c r="D570" s="80"/>
      <c r="E570" s="80"/>
      <c r="F570" s="80"/>
      <c r="G570" s="80"/>
      <c r="H570" s="80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>
      <c r="A571" s="4"/>
      <c r="B571" s="4"/>
      <c r="C571" s="80"/>
      <c r="D571" s="80"/>
      <c r="E571" s="80"/>
      <c r="F571" s="80"/>
      <c r="G571" s="80"/>
      <c r="H571" s="80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>
      <c r="A572" s="4"/>
      <c r="B572" s="4"/>
      <c r="C572" s="80"/>
      <c r="D572" s="80"/>
      <c r="E572" s="80"/>
      <c r="F572" s="80"/>
      <c r="G572" s="80"/>
      <c r="H572" s="80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>
      <c r="A573" s="4"/>
      <c r="B573" s="4"/>
      <c r="C573" s="80"/>
      <c r="D573" s="80"/>
      <c r="E573" s="80"/>
      <c r="F573" s="80"/>
      <c r="G573" s="80"/>
      <c r="H573" s="80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>
      <c r="A574" s="4"/>
      <c r="B574" s="4"/>
      <c r="C574" s="80"/>
      <c r="D574" s="80"/>
      <c r="E574" s="80"/>
      <c r="F574" s="80"/>
      <c r="G574" s="80"/>
      <c r="H574" s="80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>
      <c r="A575" s="4"/>
      <c r="B575" s="4"/>
      <c r="C575" s="80"/>
      <c r="D575" s="80"/>
      <c r="E575" s="80"/>
      <c r="F575" s="80"/>
      <c r="G575" s="80"/>
      <c r="H575" s="80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>
      <c r="A576" s="4"/>
      <c r="B576" s="4"/>
      <c r="C576" s="80"/>
      <c r="D576" s="80"/>
      <c r="E576" s="80"/>
      <c r="F576" s="80"/>
      <c r="G576" s="80"/>
      <c r="H576" s="80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>
      <c r="A577" s="4"/>
      <c r="B577" s="4"/>
      <c r="C577" s="80"/>
      <c r="D577" s="80"/>
      <c r="E577" s="80"/>
      <c r="F577" s="80"/>
      <c r="G577" s="80"/>
      <c r="H577" s="80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>
      <c r="A578" s="4"/>
      <c r="B578" s="4"/>
      <c r="C578" s="80"/>
      <c r="D578" s="80"/>
      <c r="E578" s="80"/>
      <c r="F578" s="80"/>
      <c r="G578" s="80"/>
      <c r="H578" s="80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>
      <c r="A579" s="4"/>
      <c r="B579" s="4"/>
      <c r="C579" s="80"/>
      <c r="D579" s="80"/>
      <c r="E579" s="80"/>
      <c r="F579" s="80"/>
      <c r="G579" s="80"/>
      <c r="H579" s="80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>
      <c r="A580" s="4"/>
      <c r="B580" s="4"/>
      <c r="C580" s="80"/>
      <c r="D580" s="80"/>
      <c r="E580" s="80"/>
      <c r="F580" s="80"/>
      <c r="G580" s="80"/>
      <c r="H580" s="80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>
      <c r="A581" s="4"/>
      <c r="B581" s="4"/>
      <c r="C581" s="80"/>
      <c r="D581" s="80"/>
      <c r="E581" s="80"/>
      <c r="F581" s="80"/>
      <c r="G581" s="80"/>
      <c r="H581" s="80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>
      <c r="A582" s="4"/>
      <c r="B582" s="4"/>
      <c r="C582" s="80"/>
      <c r="D582" s="80"/>
      <c r="E582" s="80"/>
      <c r="F582" s="80"/>
      <c r="G582" s="80"/>
      <c r="H582" s="80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>
      <c r="A583" s="4"/>
      <c r="B583" s="4"/>
      <c r="C583" s="80"/>
      <c r="D583" s="80"/>
      <c r="E583" s="80"/>
      <c r="F583" s="80"/>
      <c r="G583" s="80"/>
      <c r="H583" s="80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>
      <c r="A584" s="4"/>
      <c r="B584" s="4"/>
      <c r="C584" s="80"/>
      <c r="D584" s="80"/>
      <c r="E584" s="80"/>
      <c r="F584" s="80"/>
      <c r="G584" s="80"/>
      <c r="H584" s="80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>
      <c r="A585" s="4"/>
      <c r="B585" s="4"/>
      <c r="C585" s="80"/>
      <c r="D585" s="80"/>
      <c r="E585" s="80"/>
      <c r="F585" s="80"/>
      <c r="G585" s="80"/>
      <c r="H585" s="80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>
      <c r="A586" s="4"/>
      <c r="B586" s="4"/>
      <c r="C586" s="80"/>
      <c r="D586" s="80"/>
      <c r="E586" s="80"/>
      <c r="F586" s="80"/>
      <c r="G586" s="80"/>
      <c r="H586" s="80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>
      <c r="A587" s="4"/>
      <c r="B587" s="4"/>
      <c r="C587" s="80"/>
      <c r="D587" s="80"/>
      <c r="E587" s="80"/>
      <c r="F587" s="80"/>
      <c r="G587" s="80"/>
      <c r="H587" s="80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>
      <c r="A588" s="4"/>
      <c r="B588" s="4"/>
      <c r="C588" s="80"/>
      <c r="D588" s="80"/>
      <c r="E588" s="80"/>
      <c r="F588" s="80"/>
      <c r="G588" s="80"/>
      <c r="H588" s="80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>
      <c r="A589" s="4"/>
      <c r="B589" s="4"/>
      <c r="C589" s="80"/>
      <c r="D589" s="80"/>
      <c r="E589" s="80"/>
      <c r="F589" s="80"/>
      <c r="G589" s="80"/>
      <c r="H589" s="80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>
      <c r="A590" s="4"/>
      <c r="B590" s="4"/>
      <c r="C590" s="80"/>
      <c r="D590" s="80"/>
      <c r="E590" s="80"/>
      <c r="F590" s="80"/>
      <c r="G590" s="80"/>
      <c r="H590" s="80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>
      <c r="A591" s="4"/>
      <c r="B591" s="4"/>
      <c r="C591" s="80"/>
      <c r="D591" s="80"/>
      <c r="E591" s="80"/>
      <c r="F591" s="80"/>
      <c r="G591" s="80"/>
      <c r="H591" s="80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>
      <c r="A592" s="4"/>
      <c r="B592" s="4"/>
      <c r="C592" s="80"/>
      <c r="D592" s="80"/>
      <c r="E592" s="80"/>
      <c r="F592" s="80"/>
      <c r="G592" s="80"/>
      <c r="H592" s="80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>
      <c r="A593" s="4"/>
      <c r="B593" s="4"/>
      <c r="C593" s="80"/>
      <c r="D593" s="80"/>
      <c r="E593" s="80"/>
      <c r="F593" s="80"/>
      <c r="G593" s="80"/>
      <c r="H593" s="80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>
      <c r="A594" s="4"/>
      <c r="B594" s="4"/>
      <c r="C594" s="80"/>
      <c r="D594" s="80"/>
      <c r="E594" s="80"/>
      <c r="F594" s="80"/>
      <c r="G594" s="80"/>
      <c r="H594" s="80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>
      <c r="A595" s="4"/>
      <c r="B595" s="4"/>
      <c r="C595" s="80"/>
      <c r="D595" s="80"/>
      <c r="E595" s="80"/>
      <c r="F595" s="80"/>
      <c r="G595" s="80"/>
      <c r="H595" s="80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>
      <c r="A596" s="4"/>
      <c r="B596" s="4"/>
      <c r="C596" s="80"/>
      <c r="D596" s="80"/>
      <c r="E596" s="80"/>
      <c r="F596" s="80"/>
      <c r="G596" s="80"/>
      <c r="H596" s="80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>
      <c r="A597" s="4"/>
      <c r="B597" s="4"/>
      <c r="C597" s="80"/>
      <c r="D597" s="80"/>
      <c r="E597" s="80"/>
      <c r="F597" s="80"/>
      <c r="G597" s="80"/>
      <c r="H597" s="80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>
      <c r="A598" s="4"/>
      <c r="B598" s="4"/>
      <c r="C598" s="80"/>
      <c r="D598" s="80"/>
      <c r="E598" s="80"/>
      <c r="F598" s="80"/>
      <c r="G598" s="80"/>
      <c r="H598" s="80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>
      <c r="A599" s="4"/>
      <c r="B599" s="4"/>
      <c r="C599" s="80"/>
      <c r="D599" s="80"/>
      <c r="E599" s="80"/>
      <c r="F599" s="80"/>
      <c r="G599" s="80"/>
      <c r="H599" s="80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>
      <c r="A600" s="4"/>
      <c r="B600" s="4"/>
      <c r="C600" s="80"/>
      <c r="D600" s="80"/>
      <c r="E600" s="80"/>
      <c r="F600" s="80"/>
      <c r="G600" s="80"/>
      <c r="H600" s="80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>
      <c r="A601" s="4"/>
      <c r="B601" s="4"/>
      <c r="C601" s="80"/>
      <c r="D601" s="80"/>
      <c r="E601" s="80"/>
      <c r="F601" s="80"/>
      <c r="G601" s="80"/>
      <c r="H601" s="80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>
      <c r="A602" s="4"/>
      <c r="B602" s="4"/>
      <c r="C602" s="80"/>
      <c r="D602" s="80"/>
      <c r="E602" s="80"/>
      <c r="F602" s="80"/>
      <c r="G602" s="80"/>
      <c r="H602" s="80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>
      <c r="A603" s="4"/>
      <c r="B603" s="4"/>
      <c r="C603" s="80"/>
      <c r="D603" s="80"/>
      <c r="E603" s="80"/>
      <c r="F603" s="80"/>
      <c r="G603" s="80"/>
      <c r="H603" s="80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>
      <c r="A604" s="4"/>
      <c r="B604" s="4"/>
      <c r="C604" s="80"/>
      <c r="D604" s="80"/>
      <c r="E604" s="80"/>
      <c r="F604" s="80"/>
      <c r="G604" s="80"/>
      <c r="H604" s="80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>
      <c r="A605" s="4"/>
      <c r="B605" s="4"/>
      <c r="C605" s="80"/>
      <c r="D605" s="80"/>
      <c r="E605" s="80"/>
      <c r="F605" s="80"/>
      <c r="G605" s="80"/>
      <c r="H605" s="80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>
      <c r="A606" s="4"/>
      <c r="B606" s="4"/>
      <c r="C606" s="80"/>
      <c r="D606" s="80"/>
      <c r="E606" s="80"/>
      <c r="F606" s="80"/>
      <c r="G606" s="80"/>
      <c r="H606" s="80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>
      <c r="A607" s="4"/>
      <c r="B607" s="4"/>
      <c r="C607" s="80"/>
      <c r="D607" s="80"/>
      <c r="E607" s="80"/>
      <c r="F607" s="80"/>
      <c r="G607" s="80"/>
      <c r="H607" s="80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>
      <c r="A608" s="4"/>
      <c r="B608" s="4"/>
      <c r="C608" s="80"/>
      <c r="D608" s="80"/>
      <c r="E608" s="80"/>
      <c r="F608" s="80"/>
      <c r="G608" s="80"/>
      <c r="H608" s="80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>
      <c r="A609" s="4"/>
      <c r="B609" s="4"/>
      <c r="C609" s="80"/>
      <c r="D609" s="80"/>
      <c r="E609" s="80"/>
      <c r="F609" s="80"/>
      <c r="G609" s="80"/>
      <c r="H609" s="80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>
      <c r="A610" s="4"/>
      <c r="B610" s="4"/>
      <c r="C610" s="80"/>
      <c r="D610" s="80"/>
      <c r="E610" s="80"/>
      <c r="F610" s="80"/>
      <c r="G610" s="80"/>
      <c r="H610" s="80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>
      <c r="A611" s="4"/>
      <c r="B611" s="4"/>
      <c r="C611" s="80"/>
      <c r="D611" s="80"/>
      <c r="E611" s="80"/>
      <c r="F611" s="80"/>
      <c r="G611" s="80"/>
      <c r="H611" s="80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>
      <c r="A612" s="4"/>
      <c r="B612" s="4"/>
      <c r="C612" s="80"/>
      <c r="D612" s="80"/>
      <c r="E612" s="80"/>
      <c r="F612" s="80"/>
      <c r="G612" s="80"/>
      <c r="H612" s="80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>
      <c r="A613" s="4"/>
      <c r="B613" s="4"/>
      <c r="C613" s="80"/>
      <c r="D613" s="80"/>
      <c r="E613" s="80"/>
      <c r="F613" s="80"/>
      <c r="G613" s="80"/>
      <c r="H613" s="80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>
      <c r="A614" s="4"/>
      <c r="B614" s="4"/>
      <c r="C614" s="80"/>
      <c r="D614" s="80"/>
      <c r="E614" s="80"/>
      <c r="F614" s="80"/>
      <c r="G614" s="80"/>
      <c r="H614" s="80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>
      <c r="A615" s="4"/>
      <c r="B615" s="4"/>
      <c r="C615" s="80"/>
      <c r="D615" s="80"/>
      <c r="E615" s="80"/>
      <c r="F615" s="80"/>
      <c r="G615" s="80"/>
      <c r="H615" s="80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>
      <c r="A616" s="4"/>
      <c r="B616" s="4"/>
      <c r="C616" s="80"/>
      <c r="D616" s="80"/>
      <c r="E616" s="80"/>
      <c r="F616" s="80"/>
      <c r="G616" s="80"/>
      <c r="H616" s="80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>
      <c r="A617" s="4"/>
      <c r="B617" s="4"/>
      <c r="C617" s="80"/>
      <c r="D617" s="80"/>
      <c r="E617" s="80"/>
      <c r="F617" s="80"/>
      <c r="G617" s="80"/>
      <c r="H617" s="80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>
      <c r="A618" s="4"/>
      <c r="B618" s="4"/>
      <c r="C618" s="80"/>
      <c r="D618" s="80"/>
      <c r="E618" s="80"/>
      <c r="F618" s="80"/>
      <c r="G618" s="80"/>
      <c r="H618" s="80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>
      <c r="A619" s="4"/>
      <c r="B619" s="4"/>
      <c r="C619" s="80"/>
      <c r="D619" s="80"/>
      <c r="E619" s="80"/>
      <c r="F619" s="80"/>
      <c r="G619" s="80"/>
      <c r="H619" s="80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>
      <c r="A620" s="4"/>
      <c r="B620" s="4"/>
      <c r="C620" s="80"/>
      <c r="D620" s="80"/>
      <c r="E620" s="80"/>
      <c r="F620" s="80"/>
      <c r="G620" s="80"/>
      <c r="H620" s="80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>
      <c r="A621" s="4"/>
      <c r="B621" s="4"/>
      <c r="C621" s="80"/>
      <c r="D621" s="80"/>
      <c r="E621" s="80"/>
      <c r="F621" s="80"/>
      <c r="G621" s="80"/>
      <c r="H621" s="80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>
      <c r="A622" s="4"/>
      <c r="B622" s="4"/>
      <c r="C622" s="80"/>
      <c r="D622" s="80"/>
      <c r="E622" s="80"/>
      <c r="F622" s="80"/>
      <c r="G622" s="80"/>
      <c r="H622" s="80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>
      <c r="A623" s="4"/>
      <c r="B623" s="4"/>
      <c r="C623" s="80"/>
      <c r="D623" s="80"/>
      <c r="E623" s="80"/>
      <c r="F623" s="80"/>
      <c r="G623" s="80"/>
      <c r="H623" s="80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>
      <c r="A624" s="4"/>
      <c r="B624" s="4"/>
      <c r="C624" s="80"/>
      <c r="D624" s="80"/>
      <c r="E624" s="80"/>
      <c r="F624" s="80"/>
      <c r="G624" s="80"/>
      <c r="H624" s="80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>
      <c r="A625" s="4"/>
      <c r="B625" s="4"/>
      <c r="C625" s="80"/>
      <c r="D625" s="80"/>
      <c r="E625" s="80"/>
      <c r="F625" s="80"/>
      <c r="G625" s="80"/>
      <c r="H625" s="80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>
      <c r="A626" s="4"/>
      <c r="B626" s="4"/>
      <c r="C626" s="80"/>
      <c r="D626" s="80"/>
      <c r="E626" s="80"/>
      <c r="F626" s="80"/>
      <c r="G626" s="80"/>
      <c r="H626" s="80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>
      <c r="A627" s="4"/>
      <c r="B627" s="4"/>
      <c r="C627" s="80"/>
      <c r="D627" s="80"/>
      <c r="E627" s="80"/>
      <c r="F627" s="80"/>
      <c r="G627" s="80"/>
      <c r="H627" s="80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>
      <c r="A628" s="4"/>
      <c r="B628" s="4"/>
      <c r="C628" s="80"/>
      <c r="D628" s="80"/>
      <c r="E628" s="80"/>
      <c r="F628" s="80"/>
      <c r="G628" s="80"/>
      <c r="H628" s="80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>
      <c r="A629" s="4"/>
      <c r="B629" s="4"/>
      <c r="C629" s="80"/>
      <c r="D629" s="80"/>
      <c r="E629" s="80"/>
      <c r="F629" s="80"/>
      <c r="G629" s="80"/>
      <c r="H629" s="80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>
      <c r="A630" s="4"/>
      <c r="B630" s="4"/>
      <c r="C630" s="80"/>
      <c r="D630" s="80"/>
      <c r="E630" s="80"/>
      <c r="F630" s="80"/>
      <c r="G630" s="80"/>
      <c r="H630" s="80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>
      <c r="A631" s="4"/>
      <c r="B631" s="4"/>
      <c r="C631" s="80"/>
      <c r="D631" s="80"/>
      <c r="E631" s="80"/>
      <c r="F631" s="80"/>
      <c r="G631" s="80"/>
      <c r="H631" s="80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>
      <c r="A632" s="4"/>
      <c r="B632" s="4"/>
      <c r="C632" s="80"/>
      <c r="D632" s="80"/>
      <c r="E632" s="80"/>
      <c r="F632" s="80"/>
      <c r="G632" s="80"/>
      <c r="H632" s="80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>
      <c r="A633" s="4"/>
      <c r="B633" s="4"/>
      <c r="C633" s="80"/>
      <c r="D633" s="80"/>
      <c r="E633" s="80"/>
      <c r="F633" s="80"/>
      <c r="G633" s="80"/>
      <c r="H633" s="80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>
      <c r="A634" s="4"/>
      <c r="B634" s="4"/>
      <c r="C634" s="80"/>
      <c r="D634" s="80"/>
      <c r="E634" s="80"/>
      <c r="F634" s="80"/>
      <c r="G634" s="80"/>
      <c r="H634" s="80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>
      <c r="A635" s="4"/>
      <c r="B635" s="4"/>
      <c r="C635" s="80"/>
      <c r="D635" s="80"/>
      <c r="E635" s="80"/>
      <c r="F635" s="80"/>
      <c r="G635" s="80"/>
      <c r="H635" s="80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>
      <c r="A636" s="4"/>
      <c r="B636" s="4"/>
      <c r="C636" s="80"/>
      <c r="D636" s="80"/>
      <c r="E636" s="80"/>
      <c r="F636" s="80"/>
      <c r="G636" s="80"/>
      <c r="H636" s="80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>
      <c r="A637" s="4"/>
      <c r="B637" s="4"/>
      <c r="C637" s="80"/>
      <c r="D637" s="80"/>
      <c r="E637" s="80"/>
      <c r="F637" s="80"/>
      <c r="G637" s="80"/>
      <c r="H637" s="80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>
      <c r="A638" s="4"/>
      <c r="B638" s="4"/>
      <c r="C638" s="80"/>
      <c r="D638" s="80"/>
      <c r="E638" s="80"/>
      <c r="F638" s="80"/>
      <c r="G638" s="80"/>
      <c r="H638" s="80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>
      <c r="A639" s="4"/>
      <c r="B639" s="4"/>
      <c r="C639" s="80"/>
      <c r="D639" s="80"/>
      <c r="E639" s="80"/>
      <c r="F639" s="80"/>
      <c r="G639" s="80"/>
      <c r="H639" s="80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>
      <c r="A640" s="4"/>
      <c r="B640" s="4"/>
      <c r="C640" s="80"/>
      <c r="D640" s="80"/>
      <c r="E640" s="80"/>
      <c r="F640" s="80"/>
      <c r="G640" s="80"/>
      <c r="H640" s="80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>
      <c r="A641" s="4"/>
      <c r="B641" s="4"/>
      <c r="C641" s="80"/>
      <c r="D641" s="80"/>
      <c r="E641" s="80"/>
      <c r="F641" s="80"/>
      <c r="G641" s="80"/>
      <c r="H641" s="80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>
      <c r="A642" s="4"/>
      <c r="B642" s="4"/>
      <c r="C642" s="80"/>
      <c r="D642" s="80"/>
      <c r="E642" s="80"/>
      <c r="F642" s="80"/>
      <c r="G642" s="80"/>
      <c r="H642" s="80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>
      <c r="A643" s="4"/>
      <c r="B643" s="4"/>
      <c r="C643" s="80"/>
      <c r="D643" s="80"/>
      <c r="E643" s="80"/>
      <c r="F643" s="80"/>
      <c r="G643" s="80"/>
      <c r="H643" s="80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>
      <c r="A644" s="4"/>
      <c r="B644" s="4"/>
      <c r="C644" s="80"/>
      <c r="D644" s="80"/>
      <c r="E644" s="80"/>
      <c r="F644" s="80"/>
      <c r="G644" s="80"/>
      <c r="H644" s="80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>
      <c r="A645" s="4"/>
      <c r="B645" s="4"/>
      <c r="C645" s="80"/>
      <c r="D645" s="80"/>
      <c r="E645" s="80"/>
      <c r="F645" s="80"/>
      <c r="G645" s="80"/>
      <c r="H645" s="80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>
      <c r="A646" s="4"/>
      <c r="B646" s="4"/>
      <c r="C646" s="80"/>
      <c r="D646" s="80"/>
      <c r="E646" s="80"/>
      <c r="F646" s="80"/>
      <c r="G646" s="80"/>
      <c r="H646" s="80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>
      <c r="A647" s="4"/>
      <c r="B647" s="4"/>
      <c r="C647" s="80"/>
      <c r="D647" s="80"/>
      <c r="E647" s="80"/>
      <c r="F647" s="80"/>
      <c r="G647" s="80"/>
      <c r="H647" s="80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>
      <c r="A648" s="4"/>
      <c r="B648" s="4"/>
      <c r="C648" s="80"/>
      <c r="D648" s="80"/>
      <c r="E648" s="80"/>
      <c r="F648" s="80"/>
      <c r="G648" s="80"/>
      <c r="H648" s="80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>
      <c r="A649" s="4"/>
      <c r="B649" s="4"/>
      <c r="C649" s="80"/>
      <c r="D649" s="80"/>
      <c r="E649" s="80"/>
      <c r="F649" s="80"/>
      <c r="G649" s="80"/>
      <c r="H649" s="80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>
      <c r="A650" s="4"/>
      <c r="B650" s="4"/>
      <c r="C650" s="80"/>
      <c r="D650" s="80"/>
      <c r="E650" s="80"/>
      <c r="F650" s="80"/>
      <c r="G650" s="80"/>
      <c r="H650" s="80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>
      <c r="A651" s="4"/>
      <c r="B651" s="4"/>
      <c r="C651" s="80"/>
      <c r="D651" s="80"/>
      <c r="E651" s="80"/>
      <c r="F651" s="80"/>
      <c r="G651" s="80"/>
      <c r="H651" s="80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>
      <c r="A652" s="4"/>
      <c r="B652" s="4"/>
      <c r="C652" s="80"/>
      <c r="D652" s="80"/>
      <c r="E652" s="80"/>
      <c r="F652" s="80"/>
      <c r="G652" s="80"/>
      <c r="H652" s="80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>
      <c r="A653" s="4"/>
      <c r="B653" s="4"/>
      <c r="C653" s="80"/>
      <c r="D653" s="80"/>
      <c r="E653" s="80"/>
      <c r="F653" s="80"/>
      <c r="G653" s="80"/>
      <c r="H653" s="80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>
      <c r="A654" s="4"/>
      <c r="B654" s="4"/>
      <c r="C654" s="80"/>
      <c r="D654" s="80"/>
      <c r="E654" s="80"/>
      <c r="F654" s="80"/>
      <c r="G654" s="80"/>
      <c r="H654" s="80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>
      <c r="A655" s="4"/>
      <c r="B655" s="4"/>
      <c r="C655" s="80"/>
      <c r="D655" s="80"/>
      <c r="E655" s="80"/>
      <c r="F655" s="80"/>
      <c r="G655" s="80"/>
      <c r="H655" s="80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>
      <c r="A656" s="4"/>
      <c r="B656" s="4"/>
      <c r="C656" s="80"/>
      <c r="D656" s="80"/>
      <c r="E656" s="80"/>
      <c r="F656" s="80"/>
      <c r="G656" s="80"/>
      <c r="H656" s="80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>
      <c r="A657" s="4"/>
      <c r="B657" s="4"/>
      <c r="C657" s="80"/>
      <c r="D657" s="80"/>
      <c r="E657" s="80"/>
      <c r="F657" s="80"/>
      <c r="G657" s="80"/>
      <c r="H657" s="80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>
      <c r="A658" s="4"/>
      <c r="B658" s="4"/>
      <c r="C658" s="80"/>
      <c r="D658" s="80"/>
      <c r="E658" s="80"/>
      <c r="F658" s="80"/>
      <c r="G658" s="80"/>
      <c r="H658" s="80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>
      <c r="A659" s="4"/>
      <c r="B659" s="4"/>
      <c r="C659" s="80"/>
      <c r="D659" s="80"/>
      <c r="E659" s="80"/>
      <c r="F659" s="80"/>
      <c r="G659" s="80"/>
      <c r="H659" s="80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>
      <c r="A660" s="4"/>
      <c r="B660" s="4"/>
      <c r="C660" s="80"/>
      <c r="D660" s="80"/>
      <c r="E660" s="80"/>
      <c r="F660" s="80"/>
      <c r="G660" s="80"/>
      <c r="H660" s="80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>
      <c r="A661" s="4"/>
      <c r="B661" s="4"/>
      <c r="C661" s="80"/>
      <c r="D661" s="80"/>
      <c r="E661" s="80"/>
      <c r="F661" s="80"/>
      <c r="G661" s="80"/>
      <c r="H661" s="80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>
      <c r="A662" s="4"/>
      <c r="B662" s="4"/>
      <c r="C662" s="80"/>
      <c r="D662" s="80"/>
      <c r="E662" s="80"/>
      <c r="F662" s="80"/>
      <c r="G662" s="80"/>
      <c r="H662" s="80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>
      <c r="A663" s="4"/>
      <c r="B663" s="4"/>
      <c r="C663" s="80"/>
      <c r="D663" s="80"/>
      <c r="E663" s="80"/>
      <c r="F663" s="80"/>
      <c r="G663" s="80"/>
      <c r="H663" s="80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>
      <c r="A664" s="4"/>
      <c r="B664" s="4"/>
      <c r="C664" s="80"/>
      <c r="D664" s="80"/>
      <c r="E664" s="80"/>
      <c r="F664" s="80"/>
      <c r="G664" s="80"/>
      <c r="H664" s="80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>
      <c r="A665" s="4"/>
      <c r="B665" s="4"/>
      <c r="C665" s="80"/>
      <c r="D665" s="80"/>
      <c r="E665" s="80"/>
      <c r="F665" s="80"/>
      <c r="G665" s="80"/>
      <c r="H665" s="80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>
      <c r="A666" s="4"/>
      <c r="B666" s="4"/>
      <c r="C666" s="80"/>
      <c r="D666" s="80"/>
      <c r="E666" s="80"/>
      <c r="F666" s="80"/>
      <c r="G666" s="80"/>
      <c r="H666" s="80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>
      <c r="A667" s="4"/>
      <c r="B667" s="4"/>
      <c r="C667" s="80"/>
      <c r="D667" s="80"/>
      <c r="E667" s="80"/>
      <c r="F667" s="80"/>
      <c r="G667" s="80"/>
      <c r="H667" s="80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>
      <c r="A668" s="4"/>
      <c r="B668" s="4"/>
      <c r="C668" s="80"/>
      <c r="D668" s="80"/>
      <c r="E668" s="80"/>
      <c r="F668" s="80"/>
      <c r="G668" s="80"/>
      <c r="H668" s="80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>
      <c r="A669" s="4"/>
      <c r="B669" s="4"/>
      <c r="C669" s="80"/>
      <c r="D669" s="80"/>
      <c r="E669" s="80"/>
      <c r="F669" s="80"/>
      <c r="G669" s="80"/>
      <c r="H669" s="80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>
      <c r="A670" s="4"/>
      <c r="B670" s="4"/>
      <c r="C670" s="80"/>
      <c r="D670" s="80"/>
      <c r="E670" s="80"/>
      <c r="F670" s="80"/>
      <c r="G670" s="80"/>
      <c r="H670" s="80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>
      <c r="A671" s="4"/>
      <c r="B671" s="4"/>
      <c r="C671" s="80"/>
      <c r="D671" s="80"/>
      <c r="E671" s="80"/>
      <c r="F671" s="80"/>
      <c r="G671" s="80"/>
      <c r="H671" s="80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>
      <c r="A672" s="4"/>
      <c r="B672" s="4"/>
      <c r="C672" s="80"/>
      <c r="D672" s="80"/>
      <c r="E672" s="80"/>
      <c r="F672" s="80"/>
      <c r="G672" s="80"/>
      <c r="H672" s="80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>
      <c r="A673" s="4"/>
      <c r="B673" s="4"/>
      <c r="C673" s="80"/>
      <c r="D673" s="80"/>
      <c r="E673" s="80"/>
      <c r="F673" s="80"/>
      <c r="G673" s="80"/>
      <c r="H673" s="80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>
      <c r="A674" s="4"/>
      <c r="B674" s="4"/>
      <c r="C674" s="80"/>
      <c r="D674" s="80"/>
      <c r="E674" s="80"/>
      <c r="F674" s="80"/>
      <c r="G674" s="80"/>
      <c r="H674" s="80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>
      <c r="A675" s="4"/>
      <c r="B675" s="4"/>
      <c r="C675" s="80"/>
      <c r="D675" s="80"/>
      <c r="E675" s="80"/>
      <c r="F675" s="80"/>
      <c r="G675" s="80"/>
      <c r="H675" s="80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>
      <c r="A676" s="4"/>
      <c r="B676" s="4"/>
      <c r="C676" s="80"/>
      <c r="D676" s="80"/>
      <c r="E676" s="80"/>
      <c r="F676" s="80"/>
      <c r="G676" s="80"/>
      <c r="H676" s="80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>
      <c r="A677" s="4"/>
      <c r="B677" s="4"/>
      <c r="C677" s="80"/>
      <c r="D677" s="80"/>
      <c r="E677" s="80"/>
      <c r="F677" s="80"/>
      <c r="G677" s="80"/>
      <c r="H677" s="80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>
      <c r="A678" s="4"/>
      <c r="B678" s="4"/>
      <c r="C678" s="80"/>
      <c r="D678" s="80"/>
      <c r="E678" s="80"/>
      <c r="F678" s="80"/>
      <c r="G678" s="80"/>
      <c r="H678" s="80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>
      <c r="A679" s="4"/>
      <c r="B679" s="4"/>
      <c r="C679" s="80"/>
      <c r="D679" s="80"/>
      <c r="E679" s="80"/>
      <c r="F679" s="80"/>
      <c r="G679" s="80"/>
      <c r="H679" s="80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>
      <c r="A680" s="4"/>
      <c r="B680" s="4"/>
      <c r="C680" s="80"/>
      <c r="D680" s="80"/>
      <c r="E680" s="80"/>
      <c r="F680" s="80"/>
      <c r="G680" s="80"/>
      <c r="H680" s="80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>
      <c r="A681" s="4"/>
      <c r="B681" s="4"/>
      <c r="C681" s="80"/>
      <c r="D681" s="80"/>
      <c r="E681" s="80"/>
      <c r="F681" s="80"/>
      <c r="G681" s="80"/>
      <c r="H681" s="80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>
      <c r="A682" s="4"/>
      <c r="B682" s="4"/>
      <c r="C682" s="80"/>
      <c r="D682" s="80"/>
      <c r="E682" s="80"/>
      <c r="F682" s="80"/>
      <c r="G682" s="80"/>
      <c r="H682" s="80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>
      <c r="A683" s="4"/>
      <c r="B683" s="4"/>
      <c r="C683" s="80"/>
      <c r="D683" s="80"/>
      <c r="E683" s="80"/>
      <c r="F683" s="80"/>
      <c r="G683" s="80"/>
      <c r="H683" s="80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>
      <c r="A684" s="4"/>
      <c r="B684" s="4"/>
      <c r="C684" s="80"/>
      <c r="D684" s="80"/>
      <c r="E684" s="80"/>
      <c r="F684" s="80"/>
      <c r="G684" s="80"/>
      <c r="H684" s="80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>
      <c r="A685" s="4"/>
      <c r="B685" s="4"/>
      <c r="C685" s="80"/>
      <c r="D685" s="80"/>
      <c r="E685" s="80"/>
      <c r="F685" s="80"/>
      <c r="G685" s="80"/>
      <c r="H685" s="80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>
      <c r="A686" s="4"/>
      <c r="B686" s="4"/>
      <c r="C686" s="80"/>
      <c r="D686" s="80"/>
      <c r="E686" s="80"/>
      <c r="F686" s="80"/>
      <c r="G686" s="80"/>
      <c r="H686" s="80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>
      <c r="A687" s="4"/>
      <c r="B687" s="4"/>
      <c r="C687" s="80"/>
      <c r="D687" s="80"/>
      <c r="E687" s="80"/>
      <c r="F687" s="80"/>
      <c r="G687" s="80"/>
      <c r="H687" s="80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>
      <c r="A688" s="4"/>
      <c r="B688" s="4"/>
      <c r="C688" s="80"/>
      <c r="D688" s="80"/>
      <c r="E688" s="80"/>
      <c r="F688" s="80"/>
      <c r="G688" s="80"/>
      <c r="H688" s="80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>
      <c r="A689" s="4"/>
      <c r="B689" s="4"/>
      <c r="C689" s="80"/>
      <c r="D689" s="80"/>
      <c r="E689" s="80"/>
      <c r="F689" s="80"/>
      <c r="G689" s="80"/>
      <c r="H689" s="80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>
      <c r="A690" s="4"/>
      <c r="B690" s="4"/>
      <c r="C690" s="80"/>
      <c r="D690" s="80"/>
      <c r="E690" s="80"/>
      <c r="F690" s="80"/>
      <c r="G690" s="80"/>
      <c r="H690" s="80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>
      <c r="A691" s="4"/>
      <c r="B691" s="4"/>
      <c r="C691" s="80"/>
      <c r="D691" s="80"/>
      <c r="E691" s="80"/>
      <c r="F691" s="80"/>
      <c r="G691" s="80"/>
      <c r="H691" s="80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>
      <c r="A692" s="4"/>
      <c r="B692" s="4"/>
      <c r="C692" s="80"/>
      <c r="D692" s="80"/>
      <c r="E692" s="80"/>
      <c r="F692" s="80"/>
      <c r="G692" s="80"/>
      <c r="H692" s="80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>
      <c r="A693" s="4"/>
      <c r="B693" s="4"/>
      <c r="C693" s="80"/>
      <c r="D693" s="80"/>
      <c r="E693" s="80"/>
      <c r="F693" s="80"/>
      <c r="G693" s="80"/>
      <c r="H693" s="80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>
      <c r="A694" s="4"/>
      <c r="B694" s="4"/>
      <c r="C694" s="80"/>
      <c r="D694" s="80"/>
      <c r="E694" s="80"/>
      <c r="F694" s="80"/>
      <c r="G694" s="80"/>
      <c r="H694" s="80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>
      <c r="A695" s="4"/>
      <c r="B695" s="4"/>
      <c r="C695" s="80"/>
      <c r="D695" s="80"/>
      <c r="E695" s="80"/>
      <c r="F695" s="80"/>
      <c r="G695" s="80"/>
      <c r="H695" s="80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>
      <c r="A696" s="4"/>
      <c r="B696" s="4"/>
      <c r="C696" s="80"/>
      <c r="D696" s="80"/>
      <c r="E696" s="80"/>
      <c r="F696" s="80"/>
      <c r="G696" s="80"/>
      <c r="H696" s="80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>
      <c r="A697" s="4"/>
      <c r="B697" s="4"/>
      <c r="C697" s="80"/>
      <c r="D697" s="80"/>
      <c r="E697" s="80"/>
      <c r="F697" s="80"/>
      <c r="G697" s="80"/>
      <c r="H697" s="80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>
      <c r="A698" s="4"/>
      <c r="B698" s="4"/>
      <c r="C698" s="80"/>
      <c r="D698" s="80"/>
      <c r="E698" s="80"/>
      <c r="F698" s="80"/>
      <c r="G698" s="80"/>
      <c r="H698" s="80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>
      <c r="A699" s="4"/>
      <c r="B699" s="4"/>
      <c r="C699" s="80"/>
      <c r="D699" s="80"/>
      <c r="E699" s="80"/>
      <c r="F699" s="80"/>
      <c r="G699" s="80"/>
      <c r="H699" s="80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>
      <c r="A700" s="4"/>
      <c r="B700" s="4"/>
      <c r="C700" s="80"/>
      <c r="D700" s="80"/>
      <c r="E700" s="80"/>
      <c r="F700" s="80"/>
      <c r="G700" s="80"/>
      <c r="H700" s="80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>
      <c r="A701" s="4"/>
      <c r="B701" s="4"/>
      <c r="C701" s="80"/>
      <c r="D701" s="80"/>
      <c r="E701" s="80"/>
      <c r="F701" s="80"/>
      <c r="G701" s="80"/>
      <c r="H701" s="80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>
      <c r="A702" s="4"/>
      <c r="B702" s="4"/>
      <c r="C702" s="80"/>
      <c r="D702" s="80"/>
      <c r="E702" s="80"/>
      <c r="F702" s="80"/>
      <c r="G702" s="80"/>
      <c r="H702" s="80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>
      <c r="A703" s="4"/>
      <c r="B703" s="4"/>
      <c r="C703" s="80"/>
      <c r="D703" s="80"/>
      <c r="E703" s="80"/>
      <c r="F703" s="80"/>
      <c r="G703" s="80"/>
      <c r="H703" s="80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>
      <c r="A704" s="4"/>
      <c r="B704" s="4"/>
      <c r="C704" s="80"/>
      <c r="D704" s="80"/>
      <c r="E704" s="80"/>
      <c r="F704" s="80"/>
      <c r="G704" s="80"/>
      <c r="H704" s="80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>
      <c r="A705" s="4"/>
      <c r="B705" s="4"/>
      <c r="C705" s="80"/>
      <c r="D705" s="80"/>
      <c r="E705" s="80"/>
      <c r="F705" s="80"/>
      <c r="G705" s="80"/>
      <c r="H705" s="80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>
      <c r="A706" s="4"/>
      <c r="B706" s="4"/>
      <c r="C706" s="80"/>
      <c r="D706" s="80"/>
      <c r="E706" s="80"/>
      <c r="F706" s="80"/>
      <c r="G706" s="80"/>
      <c r="H706" s="80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>
      <c r="A707" s="4"/>
      <c r="B707" s="4"/>
      <c r="C707" s="80"/>
      <c r="D707" s="80"/>
      <c r="E707" s="80"/>
      <c r="F707" s="80"/>
      <c r="G707" s="80"/>
      <c r="H707" s="80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>
      <c r="A708" s="4"/>
      <c r="B708" s="4"/>
      <c r="C708" s="80"/>
      <c r="D708" s="80"/>
      <c r="E708" s="80"/>
      <c r="F708" s="80"/>
      <c r="G708" s="80"/>
      <c r="H708" s="80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>
      <c r="A709" s="4"/>
      <c r="B709" s="4"/>
      <c r="C709" s="80"/>
      <c r="D709" s="80"/>
      <c r="E709" s="80"/>
      <c r="F709" s="80"/>
      <c r="G709" s="80"/>
      <c r="H709" s="80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>
      <c r="A710" s="4"/>
      <c r="B710" s="4"/>
      <c r="C710" s="80"/>
      <c r="D710" s="80"/>
      <c r="E710" s="80"/>
      <c r="F710" s="80"/>
      <c r="G710" s="80"/>
      <c r="H710" s="80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>
      <c r="A711" s="4"/>
      <c r="B711" s="4"/>
      <c r="C711" s="80"/>
      <c r="D711" s="80"/>
      <c r="E711" s="80"/>
      <c r="F711" s="80"/>
      <c r="G711" s="80"/>
      <c r="H711" s="80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>
      <c r="A712" s="4"/>
      <c r="B712" s="4"/>
      <c r="C712" s="80"/>
      <c r="D712" s="80"/>
      <c r="E712" s="80"/>
      <c r="F712" s="80"/>
      <c r="G712" s="80"/>
      <c r="H712" s="80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>
      <c r="A713" s="4"/>
      <c r="B713" s="4"/>
      <c r="C713" s="80"/>
      <c r="D713" s="80"/>
      <c r="E713" s="80"/>
      <c r="F713" s="80"/>
      <c r="G713" s="80"/>
      <c r="H713" s="80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>
      <c r="A714" s="4"/>
      <c r="B714" s="4"/>
      <c r="C714" s="80"/>
      <c r="D714" s="80"/>
      <c r="E714" s="80"/>
      <c r="F714" s="80"/>
      <c r="G714" s="80"/>
      <c r="H714" s="80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>
      <c r="A715" s="4"/>
      <c r="B715" s="4"/>
      <c r="C715" s="80"/>
      <c r="D715" s="80"/>
      <c r="E715" s="80"/>
      <c r="F715" s="80"/>
      <c r="G715" s="80"/>
      <c r="H715" s="80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>
      <c r="A716" s="4"/>
      <c r="B716" s="4"/>
      <c r="C716" s="80"/>
      <c r="D716" s="80"/>
      <c r="E716" s="80"/>
      <c r="F716" s="80"/>
      <c r="G716" s="80"/>
      <c r="H716" s="80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>
      <c r="A717" s="4"/>
      <c r="B717" s="4"/>
      <c r="C717" s="80"/>
      <c r="D717" s="80"/>
      <c r="E717" s="80"/>
      <c r="F717" s="80"/>
      <c r="G717" s="80"/>
      <c r="H717" s="80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>
      <c r="A718" s="4"/>
      <c r="B718" s="4"/>
      <c r="C718" s="80"/>
      <c r="D718" s="80"/>
      <c r="E718" s="80"/>
      <c r="F718" s="80"/>
      <c r="G718" s="80"/>
      <c r="H718" s="80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>
      <c r="A719" s="4"/>
      <c r="B719" s="4"/>
      <c r="C719" s="80"/>
      <c r="D719" s="80"/>
      <c r="E719" s="80"/>
      <c r="F719" s="80"/>
      <c r="G719" s="80"/>
      <c r="H719" s="80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>
      <c r="A720" s="4"/>
      <c r="B720" s="4"/>
      <c r="C720" s="80"/>
      <c r="D720" s="80"/>
      <c r="E720" s="80"/>
      <c r="F720" s="80"/>
      <c r="G720" s="80"/>
      <c r="H720" s="80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>
      <c r="A721" s="4"/>
      <c r="B721" s="4"/>
      <c r="C721" s="80"/>
      <c r="D721" s="80"/>
      <c r="E721" s="80"/>
      <c r="F721" s="80"/>
      <c r="G721" s="80"/>
      <c r="H721" s="80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>
      <c r="A722" s="4"/>
      <c r="B722" s="4"/>
      <c r="C722" s="80"/>
      <c r="D722" s="80"/>
      <c r="E722" s="80"/>
      <c r="F722" s="80"/>
      <c r="G722" s="80"/>
      <c r="H722" s="80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>
      <c r="A723" s="4"/>
      <c r="B723" s="4"/>
      <c r="C723" s="80"/>
      <c r="D723" s="80"/>
      <c r="E723" s="80"/>
      <c r="F723" s="80"/>
      <c r="G723" s="80"/>
      <c r="H723" s="80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>
      <c r="A724" s="4"/>
      <c r="B724" s="4"/>
      <c r="C724" s="80"/>
      <c r="D724" s="80"/>
      <c r="E724" s="80"/>
      <c r="F724" s="80"/>
      <c r="G724" s="80"/>
      <c r="H724" s="80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>
      <c r="A725" s="4"/>
      <c r="B725" s="4"/>
      <c r="C725" s="80"/>
      <c r="D725" s="80"/>
      <c r="E725" s="80"/>
      <c r="F725" s="80"/>
      <c r="G725" s="80"/>
      <c r="H725" s="80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>
      <c r="A726" s="4"/>
      <c r="B726" s="4"/>
      <c r="C726" s="80"/>
      <c r="D726" s="80"/>
      <c r="E726" s="80"/>
      <c r="F726" s="80"/>
      <c r="G726" s="80"/>
      <c r="H726" s="80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>
      <c r="A727" s="4"/>
      <c r="B727" s="4"/>
      <c r="C727" s="80"/>
      <c r="D727" s="80"/>
      <c r="E727" s="80"/>
      <c r="F727" s="80"/>
      <c r="G727" s="80"/>
      <c r="H727" s="80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>
      <c r="A728" s="4"/>
      <c r="B728" s="4"/>
      <c r="C728" s="80"/>
      <c r="D728" s="80"/>
      <c r="E728" s="80"/>
      <c r="F728" s="80"/>
      <c r="G728" s="80"/>
      <c r="H728" s="80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>
      <c r="A729" s="4"/>
      <c r="B729" s="4"/>
      <c r="C729" s="80"/>
      <c r="D729" s="80"/>
      <c r="E729" s="80"/>
      <c r="F729" s="80"/>
      <c r="G729" s="80"/>
      <c r="H729" s="80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>
      <c r="A730" s="4"/>
      <c r="B730" s="4"/>
      <c r="C730" s="80"/>
      <c r="D730" s="80"/>
      <c r="E730" s="80"/>
      <c r="F730" s="80"/>
      <c r="G730" s="80"/>
      <c r="H730" s="80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>
      <c r="A731" s="4"/>
      <c r="B731" s="4"/>
      <c r="C731" s="80"/>
      <c r="D731" s="80"/>
      <c r="E731" s="80"/>
      <c r="F731" s="80"/>
      <c r="G731" s="80"/>
      <c r="H731" s="80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>
      <c r="A732" s="4"/>
      <c r="B732" s="4"/>
      <c r="C732" s="80"/>
      <c r="D732" s="80"/>
      <c r="E732" s="80"/>
      <c r="F732" s="80"/>
      <c r="G732" s="80"/>
      <c r="H732" s="80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>
      <c r="A733" s="4"/>
      <c r="B733" s="4"/>
      <c r="C733" s="80"/>
      <c r="D733" s="80"/>
      <c r="E733" s="80"/>
      <c r="F733" s="80"/>
      <c r="G733" s="80"/>
      <c r="H733" s="80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>
      <c r="A734" s="4"/>
      <c r="B734" s="4"/>
      <c r="C734" s="80"/>
      <c r="D734" s="80"/>
      <c r="E734" s="80"/>
      <c r="F734" s="80"/>
      <c r="G734" s="80"/>
      <c r="H734" s="80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>
      <c r="A735" s="4"/>
      <c r="B735" s="4"/>
      <c r="C735" s="80"/>
      <c r="D735" s="80"/>
      <c r="E735" s="80"/>
      <c r="F735" s="80"/>
      <c r="G735" s="80"/>
      <c r="H735" s="80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>
      <c r="A736" s="4"/>
      <c r="B736" s="4"/>
      <c r="C736" s="80"/>
      <c r="D736" s="80"/>
      <c r="E736" s="80"/>
      <c r="F736" s="80"/>
      <c r="G736" s="80"/>
      <c r="H736" s="80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>
      <c r="A737" s="4"/>
      <c r="B737" s="4"/>
      <c r="C737" s="80"/>
      <c r="D737" s="80"/>
      <c r="E737" s="80"/>
      <c r="F737" s="80"/>
      <c r="G737" s="80"/>
      <c r="H737" s="80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>
      <c r="A738" s="4"/>
      <c r="B738" s="4"/>
      <c r="C738" s="80"/>
      <c r="D738" s="80"/>
      <c r="E738" s="80"/>
      <c r="F738" s="80"/>
      <c r="G738" s="80"/>
      <c r="H738" s="80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>
      <c r="A739" s="4"/>
      <c r="B739" s="4"/>
      <c r="C739" s="80"/>
      <c r="D739" s="80"/>
      <c r="E739" s="80"/>
      <c r="F739" s="80"/>
      <c r="G739" s="80"/>
      <c r="H739" s="80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>
      <c r="A740" s="4"/>
      <c r="B740" s="4"/>
      <c r="C740" s="80"/>
      <c r="D740" s="80"/>
      <c r="E740" s="80"/>
      <c r="F740" s="80"/>
      <c r="G740" s="80"/>
      <c r="H740" s="80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>
      <c r="A741" s="4"/>
      <c r="B741" s="4"/>
      <c r="C741" s="80"/>
      <c r="D741" s="80"/>
      <c r="E741" s="80"/>
      <c r="F741" s="80"/>
      <c r="G741" s="80"/>
      <c r="H741" s="80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>
      <c r="A742" s="4"/>
      <c r="B742" s="4"/>
      <c r="C742" s="80"/>
      <c r="D742" s="80"/>
      <c r="E742" s="80"/>
      <c r="F742" s="80"/>
      <c r="G742" s="80"/>
      <c r="H742" s="80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>
      <c r="A743" s="4"/>
      <c r="B743" s="4"/>
      <c r="C743" s="80"/>
      <c r="D743" s="80"/>
      <c r="E743" s="80"/>
      <c r="F743" s="80"/>
      <c r="G743" s="80"/>
      <c r="H743" s="80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>
      <c r="A744" s="4"/>
      <c r="B744" s="4"/>
      <c r="C744" s="80"/>
      <c r="D744" s="80"/>
      <c r="E744" s="80"/>
      <c r="F744" s="80"/>
      <c r="G744" s="80"/>
      <c r="H744" s="80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>
      <c r="A745" s="4"/>
      <c r="B745" s="4"/>
      <c r="C745" s="80"/>
      <c r="D745" s="80"/>
      <c r="E745" s="80"/>
      <c r="F745" s="80"/>
      <c r="G745" s="80"/>
      <c r="H745" s="80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>
      <c r="A746" s="4"/>
      <c r="B746" s="4"/>
      <c r="C746" s="80"/>
      <c r="D746" s="80"/>
      <c r="E746" s="80"/>
      <c r="F746" s="80"/>
      <c r="G746" s="80"/>
      <c r="H746" s="80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>
      <c r="A747" s="4"/>
      <c r="B747" s="4"/>
      <c r="C747" s="80"/>
      <c r="D747" s="80"/>
      <c r="E747" s="80"/>
      <c r="F747" s="80"/>
      <c r="G747" s="80"/>
      <c r="H747" s="80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>
      <c r="A748" s="4"/>
      <c r="B748" s="4"/>
      <c r="C748" s="80"/>
      <c r="D748" s="80"/>
      <c r="E748" s="80"/>
      <c r="F748" s="80"/>
      <c r="G748" s="80"/>
      <c r="H748" s="80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>
      <c r="A749" s="4"/>
      <c r="B749" s="4"/>
      <c r="C749" s="80"/>
      <c r="D749" s="80"/>
      <c r="E749" s="80"/>
      <c r="F749" s="80"/>
      <c r="G749" s="80"/>
      <c r="H749" s="80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>
      <c r="A750" s="4"/>
      <c r="B750" s="4"/>
      <c r="C750" s="80"/>
      <c r="D750" s="80"/>
      <c r="E750" s="80"/>
      <c r="F750" s="80"/>
      <c r="G750" s="80"/>
      <c r="H750" s="80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>
      <c r="A751" s="4"/>
      <c r="B751" s="4"/>
      <c r="C751" s="80"/>
      <c r="D751" s="80"/>
      <c r="E751" s="80"/>
      <c r="F751" s="80"/>
      <c r="G751" s="80"/>
      <c r="H751" s="80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>
      <c r="A752" s="4"/>
      <c r="B752" s="4"/>
      <c r="C752" s="80"/>
      <c r="D752" s="80"/>
      <c r="E752" s="80"/>
      <c r="F752" s="80"/>
      <c r="G752" s="80"/>
      <c r="H752" s="80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>
      <c r="A753" s="4"/>
      <c r="B753" s="4"/>
      <c r="C753" s="80"/>
      <c r="D753" s="80"/>
      <c r="E753" s="80"/>
      <c r="F753" s="80"/>
      <c r="G753" s="80"/>
      <c r="H753" s="80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>
      <c r="A754" s="4"/>
      <c r="B754" s="4"/>
      <c r="C754" s="80"/>
      <c r="D754" s="80"/>
      <c r="E754" s="80"/>
      <c r="F754" s="80"/>
      <c r="G754" s="80"/>
      <c r="H754" s="80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>
      <c r="A755" s="4"/>
      <c r="B755" s="4"/>
      <c r="C755" s="80"/>
      <c r="D755" s="80"/>
      <c r="E755" s="80"/>
      <c r="F755" s="80"/>
      <c r="G755" s="80"/>
      <c r="H755" s="80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>
      <c r="A756" s="4"/>
      <c r="B756" s="4"/>
      <c r="C756" s="80"/>
      <c r="D756" s="80"/>
      <c r="E756" s="80"/>
      <c r="F756" s="80"/>
      <c r="G756" s="80"/>
      <c r="H756" s="80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>
      <c r="A757" s="4"/>
      <c r="B757" s="4"/>
      <c r="C757" s="80"/>
      <c r="D757" s="80"/>
      <c r="E757" s="80"/>
      <c r="F757" s="80"/>
      <c r="G757" s="80"/>
      <c r="H757" s="80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>
      <c r="A758" s="4"/>
      <c r="B758" s="4"/>
      <c r="C758" s="80"/>
      <c r="D758" s="80"/>
      <c r="E758" s="80"/>
      <c r="F758" s="80"/>
      <c r="G758" s="80"/>
      <c r="H758" s="80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>
      <c r="A759" s="4"/>
      <c r="B759" s="4"/>
      <c r="C759" s="80"/>
      <c r="D759" s="80"/>
      <c r="E759" s="80"/>
      <c r="F759" s="80"/>
      <c r="G759" s="80"/>
      <c r="H759" s="80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>
      <c r="A760" s="4"/>
      <c r="B760" s="4"/>
      <c r="C760" s="80"/>
      <c r="D760" s="80"/>
      <c r="E760" s="80"/>
      <c r="F760" s="80"/>
      <c r="G760" s="80"/>
      <c r="H760" s="80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>
      <c r="A761" s="4"/>
      <c r="B761" s="4"/>
      <c r="C761" s="80"/>
      <c r="D761" s="80"/>
      <c r="E761" s="80"/>
      <c r="F761" s="80"/>
      <c r="G761" s="80"/>
      <c r="H761" s="80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>
      <c r="A762" s="4"/>
      <c r="B762" s="4"/>
      <c r="C762" s="80"/>
      <c r="D762" s="80"/>
      <c r="E762" s="80"/>
      <c r="F762" s="80"/>
      <c r="G762" s="80"/>
      <c r="H762" s="80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>
      <c r="A763" s="4"/>
      <c r="B763" s="4"/>
      <c r="C763" s="80"/>
      <c r="D763" s="80"/>
      <c r="E763" s="80"/>
      <c r="F763" s="80"/>
      <c r="G763" s="80"/>
      <c r="H763" s="80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>
      <c r="A764" s="4"/>
      <c r="B764" s="4"/>
      <c r="C764" s="80"/>
      <c r="D764" s="80"/>
      <c r="E764" s="80"/>
      <c r="F764" s="80"/>
      <c r="G764" s="80"/>
      <c r="H764" s="80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>
      <c r="A765" s="4"/>
      <c r="B765" s="4"/>
      <c r="C765" s="80"/>
      <c r="D765" s="80"/>
      <c r="E765" s="80"/>
      <c r="F765" s="80"/>
      <c r="G765" s="80"/>
      <c r="H765" s="80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>
      <c r="A766" s="4"/>
      <c r="B766" s="4"/>
      <c r="C766" s="80"/>
      <c r="D766" s="80"/>
      <c r="E766" s="80"/>
      <c r="F766" s="80"/>
      <c r="G766" s="80"/>
      <c r="H766" s="80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>
      <c r="A767" s="4"/>
      <c r="B767" s="4"/>
      <c r="C767" s="80"/>
      <c r="D767" s="80"/>
      <c r="E767" s="80"/>
      <c r="F767" s="80"/>
      <c r="G767" s="80"/>
      <c r="H767" s="80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>
      <c r="A768" s="4"/>
      <c r="B768" s="4"/>
      <c r="C768" s="80"/>
      <c r="D768" s="80"/>
      <c r="E768" s="80"/>
      <c r="F768" s="80"/>
      <c r="G768" s="80"/>
      <c r="H768" s="80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>
      <c r="A769" s="4"/>
      <c r="B769" s="4"/>
      <c r="C769" s="80"/>
      <c r="D769" s="80"/>
      <c r="E769" s="80"/>
      <c r="F769" s="80"/>
      <c r="G769" s="80"/>
      <c r="H769" s="80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>
      <c r="A770" s="4"/>
      <c r="B770" s="4"/>
      <c r="C770" s="80"/>
      <c r="D770" s="80"/>
      <c r="E770" s="80"/>
      <c r="F770" s="80"/>
      <c r="G770" s="80"/>
      <c r="H770" s="80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>
      <c r="A771" s="4"/>
      <c r="B771" s="4"/>
      <c r="C771" s="80"/>
      <c r="D771" s="80"/>
      <c r="E771" s="80"/>
      <c r="F771" s="80"/>
      <c r="G771" s="80"/>
      <c r="H771" s="80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>
      <c r="A772" s="4"/>
      <c r="B772" s="4"/>
      <c r="C772" s="80"/>
      <c r="D772" s="80"/>
      <c r="E772" s="80"/>
      <c r="F772" s="80"/>
      <c r="G772" s="80"/>
      <c r="H772" s="80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>
      <c r="A773" s="4"/>
      <c r="B773" s="4"/>
      <c r="C773" s="80"/>
      <c r="D773" s="80"/>
      <c r="E773" s="80"/>
      <c r="F773" s="80"/>
      <c r="G773" s="80"/>
      <c r="H773" s="80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>
      <c r="A774" s="4"/>
      <c r="B774" s="4"/>
      <c r="C774" s="80"/>
      <c r="D774" s="80"/>
      <c r="E774" s="80"/>
      <c r="F774" s="80"/>
      <c r="G774" s="80"/>
      <c r="H774" s="80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>
      <c r="A775" s="4"/>
      <c r="B775" s="4"/>
      <c r="C775" s="80"/>
      <c r="D775" s="80"/>
      <c r="E775" s="80"/>
      <c r="F775" s="80"/>
      <c r="G775" s="80"/>
      <c r="H775" s="80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>
      <c r="A776" s="4"/>
      <c r="B776" s="4"/>
      <c r="C776" s="80"/>
      <c r="D776" s="80"/>
      <c r="E776" s="80"/>
      <c r="F776" s="80"/>
      <c r="G776" s="80"/>
      <c r="H776" s="80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>
      <c r="A777" s="4"/>
      <c r="B777" s="4"/>
      <c r="C777" s="80"/>
      <c r="D777" s="80"/>
      <c r="E777" s="80"/>
      <c r="F777" s="80"/>
      <c r="G777" s="80"/>
      <c r="H777" s="80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>
      <c r="A778" s="4"/>
      <c r="B778" s="4"/>
      <c r="C778" s="80"/>
      <c r="D778" s="80"/>
      <c r="E778" s="80"/>
      <c r="F778" s="80"/>
      <c r="G778" s="80"/>
      <c r="H778" s="80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>
      <c r="A779" s="4"/>
      <c r="B779" s="4"/>
      <c r="C779" s="80"/>
      <c r="D779" s="80"/>
      <c r="E779" s="80"/>
      <c r="F779" s="80"/>
      <c r="G779" s="80"/>
      <c r="H779" s="80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>
      <c r="A780" s="4"/>
      <c r="B780" s="4"/>
      <c r="C780" s="80"/>
      <c r="D780" s="80"/>
      <c r="E780" s="80"/>
      <c r="F780" s="80"/>
      <c r="G780" s="80"/>
      <c r="H780" s="80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>
      <c r="A781" s="4"/>
      <c r="B781" s="4"/>
      <c r="C781" s="80"/>
      <c r="D781" s="80"/>
      <c r="E781" s="80"/>
      <c r="F781" s="80"/>
      <c r="G781" s="80"/>
      <c r="H781" s="80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>
      <c r="A782" s="4"/>
      <c r="B782" s="4"/>
      <c r="C782" s="80"/>
      <c r="D782" s="80"/>
      <c r="E782" s="80"/>
      <c r="F782" s="80"/>
      <c r="G782" s="80"/>
      <c r="H782" s="80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>
      <c r="A783" s="4"/>
      <c r="B783" s="4"/>
      <c r="C783" s="80"/>
      <c r="D783" s="80"/>
      <c r="E783" s="80"/>
      <c r="F783" s="80"/>
      <c r="G783" s="80"/>
      <c r="H783" s="80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>
      <c r="A784" s="4"/>
      <c r="B784" s="4"/>
      <c r="C784" s="80"/>
      <c r="D784" s="80"/>
      <c r="E784" s="80"/>
      <c r="F784" s="80"/>
      <c r="G784" s="80"/>
      <c r="H784" s="80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>
      <c r="A785" s="4"/>
      <c r="B785" s="4"/>
      <c r="C785" s="80"/>
      <c r="D785" s="80"/>
      <c r="E785" s="80"/>
      <c r="F785" s="80"/>
      <c r="G785" s="80"/>
      <c r="H785" s="80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>
      <c r="A786" s="4"/>
      <c r="B786" s="4"/>
      <c r="C786" s="80"/>
      <c r="D786" s="80"/>
      <c r="E786" s="80"/>
      <c r="F786" s="80"/>
      <c r="G786" s="80"/>
      <c r="H786" s="80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>
      <c r="A787" s="4"/>
      <c r="B787" s="4"/>
      <c r="C787" s="80"/>
      <c r="D787" s="80"/>
      <c r="E787" s="80"/>
      <c r="F787" s="80"/>
      <c r="G787" s="80"/>
      <c r="H787" s="80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>
      <c r="A788" s="4"/>
      <c r="B788" s="4"/>
      <c r="C788" s="80"/>
      <c r="D788" s="80"/>
      <c r="E788" s="80"/>
      <c r="F788" s="80"/>
      <c r="G788" s="80"/>
      <c r="H788" s="80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>
      <c r="A789" s="4"/>
      <c r="B789" s="4"/>
      <c r="C789" s="80"/>
      <c r="D789" s="80"/>
      <c r="E789" s="80"/>
      <c r="F789" s="80"/>
      <c r="G789" s="80"/>
      <c r="H789" s="80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>
      <c r="A790" s="4"/>
      <c r="B790" s="4"/>
      <c r="C790" s="80"/>
      <c r="D790" s="80"/>
      <c r="E790" s="80"/>
      <c r="F790" s="80"/>
      <c r="G790" s="80"/>
      <c r="H790" s="80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>
      <c r="A791" s="4"/>
      <c r="B791" s="4"/>
      <c r="C791" s="80"/>
      <c r="D791" s="80"/>
      <c r="E791" s="80"/>
      <c r="F791" s="80"/>
      <c r="G791" s="80"/>
      <c r="H791" s="80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>
      <c r="A792" s="4"/>
      <c r="B792" s="4"/>
      <c r="C792" s="80"/>
      <c r="D792" s="80"/>
      <c r="E792" s="80"/>
      <c r="F792" s="80"/>
      <c r="G792" s="80"/>
      <c r="H792" s="80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>
      <c r="A793" s="4"/>
      <c r="B793" s="4"/>
      <c r="C793" s="80"/>
      <c r="D793" s="80"/>
      <c r="E793" s="80"/>
      <c r="F793" s="80"/>
      <c r="G793" s="80"/>
      <c r="H793" s="80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>
      <c r="A794" s="4"/>
      <c r="B794" s="4"/>
      <c r="C794" s="80"/>
      <c r="D794" s="80"/>
      <c r="E794" s="80"/>
      <c r="F794" s="80"/>
      <c r="G794" s="80"/>
      <c r="H794" s="80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>
      <c r="A795" s="4"/>
      <c r="B795" s="4"/>
      <c r="C795" s="80"/>
      <c r="D795" s="80"/>
      <c r="E795" s="80"/>
      <c r="F795" s="80"/>
      <c r="G795" s="80"/>
      <c r="H795" s="80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>
      <c r="A796" s="4"/>
      <c r="B796" s="4"/>
      <c r="C796" s="80"/>
      <c r="D796" s="80"/>
      <c r="E796" s="80"/>
      <c r="F796" s="80"/>
      <c r="G796" s="80"/>
      <c r="H796" s="80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>
      <c r="A797" s="4"/>
      <c r="B797" s="4"/>
      <c r="C797" s="80"/>
      <c r="D797" s="80"/>
      <c r="E797" s="80"/>
      <c r="F797" s="80"/>
      <c r="G797" s="80"/>
      <c r="H797" s="80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>
      <c r="A798" s="4"/>
      <c r="B798" s="4"/>
      <c r="C798" s="80"/>
      <c r="D798" s="80"/>
      <c r="E798" s="80"/>
      <c r="F798" s="80"/>
      <c r="G798" s="80"/>
      <c r="H798" s="80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>
      <c r="A799" s="4"/>
      <c r="B799" s="4"/>
      <c r="C799" s="80"/>
      <c r="D799" s="80"/>
      <c r="E799" s="80"/>
      <c r="F799" s="80"/>
      <c r="G799" s="80"/>
      <c r="H799" s="80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>
      <c r="A800" s="4"/>
      <c r="B800" s="4"/>
      <c r="C800" s="80"/>
      <c r="D800" s="80"/>
      <c r="E800" s="80"/>
      <c r="F800" s="80"/>
      <c r="G800" s="80"/>
      <c r="H800" s="80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>
      <c r="A801" s="4"/>
      <c r="B801" s="4"/>
      <c r="C801" s="80"/>
      <c r="D801" s="80"/>
      <c r="E801" s="80"/>
      <c r="F801" s="80"/>
      <c r="G801" s="80"/>
      <c r="H801" s="80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>
      <c r="A802" s="4"/>
      <c r="B802" s="4"/>
      <c r="C802" s="80"/>
      <c r="D802" s="80"/>
      <c r="E802" s="80"/>
      <c r="F802" s="80"/>
      <c r="G802" s="80"/>
      <c r="H802" s="80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>
      <c r="A803" s="4"/>
      <c r="B803" s="4"/>
      <c r="C803" s="80"/>
      <c r="D803" s="80"/>
      <c r="E803" s="80"/>
      <c r="F803" s="80"/>
      <c r="G803" s="80"/>
      <c r="H803" s="80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>
      <c r="A804" s="4"/>
      <c r="B804" s="4"/>
      <c r="C804" s="80"/>
      <c r="D804" s="80"/>
      <c r="E804" s="80"/>
      <c r="F804" s="80"/>
      <c r="G804" s="80"/>
      <c r="H804" s="80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>
      <c r="A805" s="4"/>
      <c r="B805" s="4"/>
      <c r="C805" s="80"/>
      <c r="D805" s="80"/>
      <c r="E805" s="80"/>
      <c r="F805" s="80"/>
      <c r="G805" s="80"/>
      <c r="H805" s="80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>
      <c r="A806" s="4"/>
      <c r="B806" s="4"/>
      <c r="C806" s="80"/>
      <c r="D806" s="80"/>
      <c r="E806" s="80"/>
      <c r="F806" s="80"/>
      <c r="G806" s="80"/>
      <c r="H806" s="80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>
      <c r="A807" s="4"/>
      <c r="B807" s="4"/>
      <c r="C807" s="80"/>
      <c r="D807" s="80"/>
      <c r="E807" s="80"/>
      <c r="F807" s="80"/>
      <c r="G807" s="80"/>
      <c r="H807" s="80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>
      <c r="A808" s="4"/>
      <c r="B808" s="4"/>
      <c r="C808" s="80"/>
      <c r="D808" s="80"/>
      <c r="E808" s="80"/>
      <c r="F808" s="80"/>
      <c r="G808" s="80"/>
      <c r="H808" s="80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>
      <c r="A809" s="4"/>
      <c r="B809" s="4"/>
      <c r="C809" s="80"/>
      <c r="D809" s="80"/>
      <c r="E809" s="80"/>
      <c r="F809" s="80"/>
      <c r="G809" s="80"/>
      <c r="H809" s="80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>
      <c r="A810" s="4"/>
      <c r="B810" s="4"/>
      <c r="C810" s="80"/>
      <c r="D810" s="80"/>
      <c r="E810" s="80"/>
      <c r="F810" s="80"/>
      <c r="G810" s="80"/>
      <c r="H810" s="80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>
      <c r="A811" s="4"/>
      <c r="B811" s="4"/>
      <c r="C811" s="80"/>
      <c r="D811" s="80"/>
      <c r="E811" s="80"/>
      <c r="F811" s="80"/>
      <c r="G811" s="80"/>
      <c r="H811" s="80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>
      <c r="A812" s="4"/>
      <c r="B812" s="4"/>
      <c r="C812" s="80"/>
      <c r="D812" s="80"/>
      <c r="E812" s="80"/>
      <c r="F812" s="80"/>
      <c r="G812" s="80"/>
      <c r="H812" s="80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>
      <c r="A813" s="4"/>
      <c r="B813" s="4"/>
      <c r="C813" s="80"/>
      <c r="D813" s="80"/>
      <c r="E813" s="80"/>
      <c r="F813" s="80"/>
      <c r="G813" s="80"/>
      <c r="H813" s="80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>
      <c r="A814" s="4"/>
      <c r="B814" s="4"/>
      <c r="C814" s="80"/>
      <c r="D814" s="80"/>
      <c r="E814" s="80"/>
      <c r="F814" s="80"/>
      <c r="G814" s="80"/>
      <c r="H814" s="80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>
      <c r="A815" s="4"/>
      <c r="B815" s="4"/>
      <c r="C815" s="80"/>
      <c r="D815" s="80"/>
      <c r="E815" s="80"/>
      <c r="F815" s="80"/>
      <c r="G815" s="80"/>
      <c r="H815" s="80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>
      <c r="A816" s="4"/>
      <c r="B816" s="4"/>
      <c r="C816" s="80"/>
      <c r="D816" s="80"/>
      <c r="E816" s="80"/>
      <c r="F816" s="80"/>
      <c r="G816" s="80"/>
      <c r="H816" s="80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>
      <c r="A817" s="4"/>
      <c r="B817" s="4"/>
      <c r="C817" s="80"/>
      <c r="D817" s="80"/>
      <c r="E817" s="80"/>
      <c r="F817" s="80"/>
      <c r="G817" s="80"/>
      <c r="H817" s="80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>
      <c r="A818" s="4"/>
      <c r="B818" s="4"/>
      <c r="C818" s="80"/>
      <c r="D818" s="80"/>
      <c r="E818" s="80"/>
      <c r="F818" s="80"/>
      <c r="G818" s="80"/>
      <c r="H818" s="80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>
      <c r="A819" s="4"/>
      <c r="B819" s="4"/>
      <c r="C819" s="80"/>
      <c r="D819" s="80"/>
      <c r="E819" s="80"/>
      <c r="F819" s="80"/>
      <c r="G819" s="80"/>
      <c r="H819" s="80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>
      <c r="A820" s="4"/>
      <c r="B820" s="4"/>
      <c r="C820" s="80"/>
      <c r="D820" s="80"/>
      <c r="E820" s="80"/>
      <c r="F820" s="80"/>
      <c r="G820" s="80"/>
      <c r="H820" s="80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>
      <c r="A821" s="4"/>
      <c r="B821" s="4"/>
      <c r="C821" s="80"/>
      <c r="D821" s="80"/>
      <c r="E821" s="80"/>
      <c r="F821" s="80"/>
      <c r="G821" s="80"/>
      <c r="H821" s="80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>
      <c r="A822" s="4"/>
      <c r="B822" s="4"/>
      <c r="C822" s="80"/>
      <c r="D822" s="80"/>
      <c r="E822" s="80"/>
      <c r="F822" s="80"/>
      <c r="G822" s="80"/>
      <c r="H822" s="80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>
      <c r="A823" s="4"/>
      <c r="B823" s="4"/>
      <c r="C823" s="80"/>
      <c r="D823" s="80"/>
      <c r="E823" s="80"/>
      <c r="F823" s="80"/>
      <c r="G823" s="80"/>
      <c r="H823" s="80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>
      <c r="A824" s="4"/>
      <c r="B824" s="4"/>
      <c r="C824" s="80"/>
      <c r="D824" s="80"/>
      <c r="E824" s="80"/>
      <c r="F824" s="80"/>
      <c r="G824" s="80"/>
      <c r="H824" s="80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>
      <c r="A825" s="4"/>
      <c r="B825" s="4"/>
      <c r="C825" s="80"/>
      <c r="D825" s="80"/>
      <c r="E825" s="80"/>
      <c r="F825" s="80"/>
      <c r="G825" s="80"/>
      <c r="H825" s="80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>
      <c r="A826" s="4"/>
      <c r="B826" s="4"/>
      <c r="C826" s="80"/>
      <c r="D826" s="80"/>
      <c r="E826" s="80"/>
      <c r="F826" s="80"/>
      <c r="G826" s="80"/>
      <c r="H826" s="80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>
      <c r="A827" s="4"/>
      <c r="B827" s="4"/>
      <c r="C827" s="80"/>
      <c r="D827" s="80"/>
      <c r="E827" s="80"/>
      <c r="F827" s="80"/>
      <c r="G827" s="80"/>
      <c r="H827" s="80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>
      <c r="A828" s="4"/>
      <c r="B828" s="4"/>
      <c r="C828" s="80"/>
      <c r="D828" s="80"/>
      <c r="E828" s="80"/>
      <c r="F828" s="80"/>
      <c r="G828" s="80"/>
      <c r="H828" s="80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>
      <c r="A829" s="4"/>
      <c r="B829" s="4"/>
      <c r="C829" s="80"/>
      <c r="D829" s="80"/>
      <c r="E829" s="80"/>
      <c r="F829" s="80"/>
      <c r="G829" s="80"/>
      <c r="H829" s="80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>
      <c r="A830" s="4"/>
      <c r="B830" s="4"/>
      <c r="C830" s="80"/>
      <c r="D830" s="80"/>
      <c r="E830" s="80"/>
      <c r="F830" s="80"/>
      <c r="G830" s="80"/>
      <c r="H830" s="80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>
      <c r="A831" s="4"/>
      <c r="B831" s="4"/>
      <c r="C831" s="80"/>
      <c r="D831" s="80"/>
      <c r="E831" s="80"/>
      <c r="F831" s="80"/>
      <c r="G831" s="80"/>
      <c r="H831" s="80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>
      <c r="A832" s="4"/>
      <c r="B832" s="4"/>
      <c r="C832" s="80"/>
      <c r="D832" s="80"/>
      <c r="E832" s="80"/>
      <c r="F832" s="80"/>
      <c r="G832" s="80"/>
      <c r="H832" s="80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>
      <c r="A833" s="4"/>
      <c r="B833" s="4"/>
      <c r="C833" s="80"/>
      <c r="D833" s="80"/>
      <c r="E833" s="80"/>
      <c r="F833" s="80"/>
      <c r="G833" s="80"/>
      <c r="H833" s="80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>
      <c r="A834" s="4"/>
      <c r="B834" s="4"/>
      <c r="C834" s="80"/>
      <c r="D834" s="80"/>
      <c r="E834" s="80"/>
      <c r="F834" s="80"/>
      <c r="G834" s="80"/>
      <c r="H834" s="80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>
      <c r="A835" s="4"/>
      <c r="B835" s="4"/>
      <c r="C835" s="80"/>
      <c r="D835" s="80"/>
      <c r="E835" s="80"/>
      <c r="F835" s="80"/>
      <c r="G835" s="80"/>
      <c r="H835" s="80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>
      <c r="A836" s="4"/>
      <c r="B836" s="4"/>
      <c r="C836" s="80"/>
      <c r="D836" s="80"/>
      <c r="E836" s="80"/>
      <c r="F836" s="80"/>
      <c r="G836" s="80"/>
      <c r="H836" s="80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>
      <c r="A837" s="4"/>
      <c r="B837" s="4"/>
      <c r="C837" s="80"/>
      <c r="D837" s="80"/>
      <c r="E837" s="80"/>
      <c r="F837" s="80"/>
      <c r="G837" s="80"/>
      <c r="H837" s="80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>
      <c r="A838" s="4"/>
      <c r="B838" s="4"/>
      <c r="C838" s="80"/>
      <c r="D838" s="80"/>
      <c r="E838" s="80"/>
      <c r="F838" s="80"/>
      <c r="G838" s="80"/>
      <c r="H838" s="80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>
      <c r="A839" s="4"/>
      <c r="B839" s="4"/>
      <c r="C839" s="80"/>
      <c r="D839" s="80"/>
      <c r="E839" s="80"/>
      <c r="F839" s="80"/>
      <c r="G839" s="80"/>
      <c r="H839" s="80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>
      <c r="A840" s="4"/>
      <c r="B840" s="4"/>
      <c r="C840" s="80"/>
      <c r="D840" s="80"/>
      <c r="E840" s="80"/>
      <c r="F840" s="80"/>
      <c r="G840" s="80"/>
      <c r="H840" s="80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>
      <c r="A841" s="4"/>
      <c r="B841" s="4"/>
      <c r="C841" s="80"/>
      <c r="D841" s="80"/>
      <c r="E841" s="80"/>
      <c r="F841" s="80"/>
      <c r="G841" s="80"/>
      <c r="H841" s="80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>
      <c r="A842" s="4"/>
      <c r="B842" s="4"/>
      <c r="C842" s="80"/>
      <c r="D842" s="80"/>
      <c r="E842" s="80"/>
      <c r="F842" s="80"/>
      <c r="G842" s="80"/>
      <c r="H842" s="80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>
      <c r="A843" s="4"/>
      <c r="B843" s="4"/>
      <c r="C843" s="80"/>
      <c r="D843" s="80"/>
      <c r="E843" s="80"/>
      <c r="F843" s="80"/>
      <c r="G843" s="80"/>
      <c r="H843" s="80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>
      <c r="A844" s="4"/>
      <c r="B844" s="4"/>
      <c r="C844" s="80"/>
      <c r="D844" s="80"/>
      <c r="E844" s="80"/>
      <c r="F844" s="80"/>
      <c r="G844" s="80"/>
      <c r="H844" s="80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>
      <c r="A845" s="4"/>
      <c r="B845" s="4"/>
      <c r="C845" s="80"/>
      <c r="D845" s="80"/>
      <c r="E845" s="80"/>
      <c r="F845" s="80"/>
      <c r="G845" s="80"/>
      <c r="H845" s="80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>
      <c r="A846" s="4"/>
      <c r="B846" s="4"/>
      <c r="C846" s="80"/>
      <c r="D846" s="80"/>
      <c r="E846" s="80"/>
      <c r="F846" s="80"/>
      <c r="G846" s="80"/>
      <c r="H846" s="80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>
      <c r="A847" s="4"/>
      <c r="B847" s="4"/>
      <c r="C847" s="80"/>
      <c r="D847" s="80"/>
      <c r="E847" s="80"/>
      <c r="F847" s="80"/>
      <c r="G847" s="80"/>
      <c r="H847" s="80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>
      <c r="A848" s="4"/>
      <c r="B848" s="4"/>
      <c r="C848" s="80"/>
      <c r="D848" s="80"/>
      <c r="E848" s="80"/>
      <c r="F848" s="80"/>
      <c r="G848" s="80"/>
      <c r="H848" s="80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>
      <c r="A849" s="4"/>
      <c r="B849" s="4"/>
      <c r="C849" s="80"/>
      <c r="D849" s="80"/>
      <c r="E849" s="80"/>
      <c r="F849" s="80"/>
      <c r="G849" s="80"/>
      <c r="H849" s="80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>
      <c r="A850" s="4"/>
      <c r="B850" s="4"/>
      <c r="C850" s="80"/>
      <c r="D850" s="80"/>
      <c r="E850" s="80"/>
      <c r="F850" s="80"/>
      <c r="G850" s="80"/>
      <c r="H850" s="80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>
      <c r="A851" s="4"/>
      <c r="B851" s="4"/>
      <c r="C851" s="80"/>
      <c r="D851" s="80"/>
      <c r="E851" s="80"/>
      <c r="F851" s="80"/>
      <c r="G851" s="80"/>
      <c r="H851" s="80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>
      <c r="A852" s="4"/>
      <c r="B852" s="4"/>
      <c r="C852" s="80"/>
      <c r="D852" s="80"/>
      <c r="E852" s="80"/>
      <c r="F852" s="80"/>
      <c r="G852" s="80"/>
      <c r="H852" s="80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>
      <c r="A853" s="4"/>
      <c r="B853" s="4"/>
      <c r="C853" s="80"/>
      <c r="D853" s="80"/>
      <c r="E853" s="80"/>
      <c r="F853" s="80"/>
      <c r="G853" s="80"/>
      <c r="H853" s="80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>
      <c r="A854" s="4"/>
      <c r="B854" s="4"/>
      <c r="C854" s="80"/>
      <c r="D854" s="80"/>
      <c r="E854" s="80"/>
      <c r="F854" s="80"/>
      <c r="G854" s="80"/>
      <c r="H854" s="80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>
      <c r="A855" s="4"/>
      <c r="B855" s="4"/>
      <c r="C855" s="80"/>
      <c r="D855" s="80"/>
      <c r="E855" s="80"/>
      <c r="F855" s="80"/>
      <c r="G855" s="80"/>
      <c r="H855" s="80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>
      <c r="A856" s="4"/>
      <c r="B856" s="4"/>
      <c r="C856" s="80"/>
      <c r="D856" s="80"/>
      <c r="E856" s="80"/>
      <c r="F856" s="80"/>
      <c r="G856" s="80"/>
      <c r="H856" s="80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>
      <c r="A857" s="4"/>
      <c r="B857" s="4"/>
      <c r="C857" s="80"/>
      <c r="D857" s="80"/>
      <c r="E857" s="80"/>
      <c r="F857" s="80"/>
      <c r="G857" s="80"/>
      <c r="H857" s="80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>
      <c r="A858" s="4"/>
      <c r="B858" s="4"/>
      <c r="C858" s="80"/>
      <c r="D858" s="80"/>
      <c r="E858" s="80"/>
      <c r="F858" s="80"/>
      <c r="G858" s="80"/>
      <c r="H858" s="80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>
      <c r="A859" s="4"/>
      <c r="B859" s="4"/>
      <c r="C859" s="80"/>
      <c r="D859" s="80"/>
      <c r="E859" s="80"/>
      <c r="F859" s="80"/>
      <c r="G859" s="80"/>
      <c r="H859" s="80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>
      <c r="A860" s="4"/>
      <c r="B860" s="4"/>
      <c r="C860" s="80"/>
      <c r="D860" s="80"/>
      <c r="E860" s="80"/>
      <c r="F860" s="80"/>
      <c r="G860" s="80"/>
      <c r="H860" s="80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>
      <c r="A861" s="4"/>
      <c r="B861" s="4"/>
      <c r="C861" s="80"/>
      <c r="D861" s="80"/>
      <c r="E861" s="80"/>
      <c r="F861" s="80"/>
      <c r="G861" s="80"/>
      <c r="H861" s="80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>
      <c r="A862" s="4"/>
      <c r="B862" s="4"/>
      <c r="C862" s="80"/>
      <c r="D862" s="80"/>
      <c r="E862" s="80"/>
      <c r="F862" s="80"/>
      <c r="G862" s="80"/>
      <c r="H862" s="80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>
      <c r="A863" s="4"/>
      <c r="B863" s="4"/>
      <c r="C863" s="80"/>
      <c r="D863" s="80"/>
      <c r="E863" s="80"/>
      <c r="F863" s="80"/>
      <c r="G863" s="80"/>
      <c r="H863" s="80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>
      <c r="A864" s="4"/>
      <c r="B864" s="4"/>
      <c r="C864" s="80"/>
      <c r="D864" s="80"/>
      <c r="E864" s="80"/>
      <c r="F864" s="80"/>
      <c r="G864" s="80"/>
      <c r="H864" s="80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>
      <c r="A865" s="4"/>
      <c r="B865" s="4"/>
      <c r="C865" s="80"/>
      <c r="D865" s="80"/>
      <c r="E865" s="80"/>
      <c r="F865" s="80"/>
      <c r="G865" s="80"/>
      <c r="H865" s="80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>
      <c r="A866" s="4"/>
      <c r="B866" s="4"/>
      <c r="C866" s="80"/>
      <c r="D866" s="80"/>
      <c r="E866" s="80"/>
      <c r="F866" s="80"/>
      <c r="G866" s="80"/>
      <c r="H866" s="80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>
      <c r="A867" s="4"/>
      <c r="B867" s="4"/>
      <c r="C867" s="80"/>
      <c r="D867" s="80"/>
      <c r="E867" s="80"/>
      <c r="F867" s="80"/>
      <c r="G867" s="80"/>
      <c r="H867" s="80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>
      <c r="A868" s="4"/>
      <c r="B868" s="4"/>
      <c r="C868" s="80"/>
      <c r="D868" s="80"/>
      <c r="E868" s="80"/>
      <c r="F868" s="80"/>
      <c r="G868" s="80"/>
      <c r="H868" s="80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>
      <c r="A869" s="4"/>
      <c r="B869" s="4"/>
      <c r="C869" s="80"/>
      <c r="D869" s="80"/>
      <c r="E869" s="80"/>
      <c r="F869" s="80"/>
      <c r="G869" s="80"/>
      <c r="H869" s="80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>
      <c r="A870" s="4"/>
      <c r="B870" s="4"/>
      <c r="C870" s="80"/>
      <c r="D870" s="80"/>
      <c r="E870" s="80"/>
      <c r="F870" s="80"/>
      <c r="G870" s="80"/>
      <c r="H870" s="80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>
      <c r="A871" s="4"/>
      <c r="B871" s="4"/>
      <c r="C871" s="80"/>
      <c r="D871" s="80"/>
      <c r="E871" s="80"/>
      <c r="F871" s="80"/>
      <c r="G871" s="80"/>
      <c r="H871" s="80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>
      <c r="A872" s="4"/>
      <c r="B872" s="4"/>
      <c r="C872" s="80"/>
      <c r="D872" s="80"/>
      <c r="E872" s="80"/>
      <c r="F872" s="80"/>
      <c r="G872" s="80"/>
      <c r="H872" s="80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>
      <c r="A873" s="4"/>
      <c r="B873" s="4"/>
      <c r="C873" s="80"/>
      <c r="D873" s="80"/>
      <c r="E873" s="80"/>
      <c r="F873" s="80"/>
      <c r="G873" s="80"/>
      <c r="H873" s="80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>
      <c r="A874" s="4"/>
      <c r="B874" s="4"/>
      <c r="C874" s="80"/>
      <c r="D874" s="80"/>
      <c r="E874" s="80"/>
      <c r="F874" s="80"/>
      <c r="G874" s="80"/>
      <c r="H874" s="80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>
      <c r="A875" s="4"/>
      <c r="B875" s="4"/>
      <c r="C875" s="80"/>
      <c r="D875" s="80"/>
      <c r="E875" s="80"/>
      <c r="F875" s="80"/>
      <c r="G875" s="80"/>
      <c r="H875" s="80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>
      <c r="A876" s="4"/>
      <c r="B876" s="4"/>
      <c r="C876" s="80"/>
      <c r="D876" s="80"/>
      <c r="E876" s="80"/>
      <c r="F876" s="80"/>
      <c r="G876" s="80"/>
      <c r="H876" s="80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>
      <c r="A877" s="4"/>
      <c r="B877" s="4"/>
      <c r="C877" s="80"/>
      <c r="D877" s="80"/>
      <c r="E877" s="80"/>
      <c r="F877" s="80"/>
      <c r="G877" s="80"/>
      <c r="H877" s="80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>
      <c r="A878" s="4"/>
      <c r="B878" s="4"/>
      <c r="C878" s="80"/>
      <c r="D878" s="80"/>
      <c r="E878" s="80"/>
      <c r="F878" s="80"/>
      <c r="G878" s="80"/>
      <c r="H878" s="80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>
      <c r="A879" s="4"/>
      <c r="B879" s="4"/>
      <c r="C879" s="80"/>
      <c r="D879" s="80"/>
      <c r="E879" s="80"/>
      <c r="F879" s="80"/>
      <c r="G879" s="80"/>
      <c r="H879" s="80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>
      <c r="A880" s="4"/>
      <c r="B880" s="4"/>
      <c r="C880" s="80"/>
      <c r="D880" s="80"/>
      <c r="E880" s="80"/>
      <c r="F880" s="80"/>
      <c r="G880" s="80"/>
      <c r="H880" s="80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>
      <c r="A881" s="4"/>
      <c r="B881" s="4"/>
      <c r="C881" s="80"/>
      <c r="D881" s="80"/>
      <c r="E881" s="80"/>
      <c r="F881" s="80"/>
      <c r="G881" s="80"/>
      <c r="H881" s="80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>
      <c r="A882" s="4"/>
      <c r="B882" s="4"/>
      <c r="C882" s="80"/>
      <c r="D882" s="80"/>
      <c r="E882" s="80"/>
      <c r="F882" s="80"/>
      <c r="G882" s="80"/>
      <c r="H882" s="80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>
      <c r="A883" s="4"/>
      <c r="B883" s="4"/>
      <c r="C883" s="80"/>
      <c r="D883" s="80"/>
      <c r="E883" s="80"/>
      <c r="F883" s="80"/>
      <c r="G883" s="80"/>
      <c r="H883" s="80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>
      <c r="A884" s="4"/>
      <c r="B884" s="4"/>
      <c r="C884" s="80"/>
      <c r="D884" s="80"/>
      <c r="E884" s="80"/>
      <c r="F884" s="80"/>
      <c r="G884" s="80"/>
      <c r="H884" s="80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>
      <c r="A885" s="4"/>
      <c r="B885" s="4"/>
      <c r="C885" s="80"/>
      <c r="D885" s="80"/>
      <c r="E885" s="80"/>
      <c r="F885" s="80"/>
      <c r="G885" s="80"/>
      <c r="H885" s="80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>
      <c r="A886" s="4"/>
      <c r="B886" s="4"/>
      <c r="C886" s="80"/>
      <c r="D886" s="80"/>
      <c r="E886" s="80"/>
      <c r="F886" s="80"/>
      <c r="G886" s="80"/>
      <c r="H886" s="80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>
      <c r="A887" s="4"/>
      <c r="B887" s="4"/>
      <c r="C887" s="80"/>
      <c r="D887" s="80"/>
      <c r="E887" s="80"/>
      <c r="F887" s="80"/>
      <c r="G887" s="80"/>
      <c r="H887" s="80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>
      <c r="A888" s="4"/>
      <c r="B888" s="4"/>
      <c r="C888" s="80"/>
      <c r="D888" s="80"/>
      <c r="E888" s="80"/>
      <c r="F888" s="80"/>
      <c r="G888" s="80"/>
      <c r="H888" s="80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>
      <c r="A889" s="4"/>
      <c r="B889" s="4"/>
      <c r="C889" s="80"/>
      <c r="D889" s="80"/>
      <c r="E889" s="80"/>
      <c r="F889" s="80"/>
      <c r="G889" s="80"/>
      <c r="H889" s="80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>
      <c r="A890" s="4"/>
      <c r="B890" s="4"/>
      <c r="C890" s="80"/>
      <c r="D890" s="80"/>
      <c r="E890" s="80"/>
      <c r="F890" s="80"/>
      <c r="G890" s="80"/>
      <c r="H890" s="80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>
      <c r="A891" s="4"/>
      <c r="B891" s="4"/>
      <c r="C891" s="80"/>
      <c r="D891" s="80"/>
      <c r="E891" s="80"/>
      <c r="F891" s="80"/>
      <c r="G891" s="80"/>
      <c r="H891" s="80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>
      <c r="A892" s="4"/>
      <c r="B892" s="4"/>
      <c r="C892" s="80"/>
      <c r="D892" s="80"/>
      <c r="E892" s="80"/>
      <c r="F892" s="80"/>
      <c r="G892" s="80"/>
      <c r="H892" s="80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>
      <c r="A893" s="4"/>
      <c r="B893" s="4"/>
      <c r="C893" s="80"/>
      <c r="D893" s="80"/>
      <c r="E893" s="80"/>
      <c r="F893" s="80"/>
      <c r="G893" s="80"/>
      <c r="H893" s="80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>
      <c r="A894" s="4"/>
      <c r="B894" s="4"/>
      <c r="C894" s="80"/>
      <c r="D894" s="80"/>
      <c r="E894" s="80"/>
      <c r="F894" s="80"/>
      <c r="G894" s="80"/>
      <c r="H894" s="80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>
      <c r="A895" s="4"/>
      <c r="B895" s="4"/>
      <c r="C895" s="80"/>
      <c r="D895" s="80"/>
      <c r="E895" s="80"/>
      <c r="F895" s="80"/>
      <c r="G895" s="80"/>
      <c r="H895" s="80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>
      <c r="A896" s="4"/>
      <c r="B896" s="4"/>
      <c r="C896" s="80"/>
      <c r="D896" s="80"/>
      <c r="E896" s="80"/>
      <c r="F896" s="80"/>
      <c r="G896" s="80"/>
      <c r="H896" s="80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>
      <c r="A897" s="4"/>
      <c r="B897" s="4"/>
      <c r="C897" s="80"/>
      <c r="D897" s="80"/>
      <c r="E897" s="80"/>
      <c r="F897" s="80"/>
      <c r="G897" s="80"/>
      <c r="H897" s="80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>
      <c r="A898" s="4"/>
      <c r="B898" s="4"/>
      <c r="C898" s="80"/>
      <c r="D898" s="80"/>
      <c r="E898" s="80"/>
      <c r="F898" s="80"/>
      <c r="G898" s="80"/>
      <c r="H898" s="80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>
      <c r="A899" s="4"/>
      <c r="B899" s="4"/>
      <c r="C899" s="80"/>
      <c r="D899" s="80"/>
      <c r="E899" s="80"/>
      <c r="F899" s="80"/>
      <c r="G899" s="80"/>
      <c r="H899" s="80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>
      <c r="A900" s="4"/>
      <c r="B900" s="4"/>
      <c r="C900" s="80"/>
      <c r="D900" s="80"/>
      <c r="E900" s="80"/>
      <c r="F900" s="80"/>
      <c r="G900" s="80"/>
      <c r="H900" s="80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>
      <c r="A901" s="4"/>
      <c r="B901" s="4"/>
      <c r="C901" s="80"/>
      <c r="D901" s="80"/>
      <c r="E901" s="80"/>
      <c r="F901" s="80"/>
      <c r="G901" s="80"/>
      <c r="H901" s="80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>
      <c r="A902" s="4"/>
      <c r="B902" s="4"/>
      <c r="C902" s="80"/>
      <c r="D902" s="80"/>
      <c r="E902" s="80"/>
      <c r="F902" s="80"/>
      <c r="G902" s="80"/>
      <c r="H902" s="80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>
      <c r="A903" s="4"/>
      <c r="B903" s="4"/>
      <c r="C903" s="80"/>
      <c r="D903" s="80"/>
      <c r="E903" s="80"/>
      <c r="F903" s="80"/>
      <c r="G903" s="80"/>
      <c r="H903" s="80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>
      <c r="A904" s="4"/>
      <c r="B904" s="4"/>
      <c r="C904" s="80"/>
      <c r="D904" s="80"/>
      <c r="E904" s="80"/>
      <c r="F904" s="80"/>
      <c r="G904" s="80"/>
      <c r="H904" s="80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>
      <c r="A905" s="4"/>
      <c r="B905" s="4"/>
      <c r="C905" s="80"/>
      <c r="D905" s="80"/>
      <c r="E905" s="80"/>
      <c r="F905" s="80"/>
      <c r="G905" s="80"/>
      <c r="H905" s="80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>
      <c r="A906" s="4"/>
      <c r="B906" s="4"/>
      <c r="C906" s="80"/>
      <c r="D906" s="80"/>
      <c r="E906" s="80"/>
      <c r="F906" s="80"/>
      <c r="G906" s="80"/>
      <c r="H906" s="80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>
      <c r="A907" s="4"/>
      <c r="B907" s="4"/>
      <c r="C907" s="80"/>
      <c r="D907" s="80"/>
      <c r="E907" s="80"/>
      <c r="F907" s="80"/>
      <c r="G907" s="80"/>
      <c r="H907" s="80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>
      <c r="A908" s="4"/>
      <c r="B908" s="4"/>
      <c r="C908" s="80"/>
      <c r="D908" s="80"/>
      <c r="E908" s="80"/>
      <c r="F908" s="80"/>
      <c r="G908" s="80"/>
      <c r="H908" s="80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>
      <c r="A909" s="4"/>
      <c r="B909" s="4"/>
      <c r="C909" s="80"/>
      <c r="D909" s="80"/>
      <c r="E909" s="80"/>
      <c r="F909" s="80"/>
      <c r="G909" s="80"/>
      <c r="H909" s="80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>
      <c r="A910" s="4"/>
      <c r="B910" s="4"/>
      <c r="C910" s="80"/>
      <c r="D910" s="80"/>
      <c r="E910" s="80"/>
      <c r="F910" s="80"/>
      <c r="G910" s="80"/>
      <c r="H910" s="80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>
      <c r="A911" s="4"/>
      <c r="B911" s="4"/>
      <c r="C911" s="80"/>
      <c r="D911" s="80"/>
      <c r="E911" s="80"/>
      <c r="F911" s="80"/>
      <c r="G911" s="80"/>
      <c r="H911" s="80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>
      <c r="A912" s="4"/>
      <c r="B912" s="4"/>
      <c r="C912" s="80"/>
      <c r="D912" s="80"/>
      <c r="E912" s="80"/>
      <c r="F912" s="80"/>
      <c r="G912" s="80"/>
      <c r="H912" s="80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>
      <c r="A913" s="4"/>
      <c r="B913" s="4"/>
      <c r="C913" s="80"/>
      <c r="D913" s="80"/>
      <c r="E913" s="80"/>
      <c r="F913" s="80"/>
      <c r="G913" s="80"/>
      <c r="H913" s="80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>
      <c r="A914" s="4"/>
      <c r="B914" s="4"/>
      <c r="C914" s="80"/>
      <c r="D914" s="80"/>
      <c r="E914" s="80"/>
      <c r="F914" s="80"/>
      <c r="G914" s="80"/>
      <c r="H914" s="80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>
      <c r="A915" s="4"/>
      <c r="B915" s="4"/>
      <c r="C915" s="80"/>
      <c r="D915" s="80"/>
      <c r="E915" s="80"/>
      <c r="F915" s="80"/>
      <c r="G915" s="80"/>
      <c r="H915" s="80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>
      <c r="A916" s="4"/>
      <c r="B916" s="4"/>
      <c r="C916" s="80"/>
      <c r="D916" s="80"/>
      <c r="E916" s="80"/>
      <c r="F916" s="80"/>
      <c r="G916" s="80"/>
      <c r="H916" s="8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>
      <c r="A917" s="4"/>
      <c r="B917" s="4"/>
      <c r="C917" s="80"/>
      <c r="D917" s="80"/>
      <c r="E917" s="80"/>
      <c r="F917" s="80"/>
      <c r="G917" s="80"/>
      <c r="H917" s="8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>
      <c r="A918" s="4"/>
      <c r="B918" s="4"/>
      <c r="C918" s="80"/>
      <c r="D918" s="80"/>
      <c r="E918" s="80"/>
      <c r="F918" s="80"/>
      <c r="G918" s="80"/>
      <c r="H918" s="8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>
      <c r="A919" s="4"/>
      <c r="B919" s="4"/>
      <c r="C919" s="80"/>
      <c r="D919" s="80"/>
      <c r="E919" s="80"/>
      <c r="F919" s="80"/>
      <c r="G919" s="80"/>
      <c r="H919" s="8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>
      <c r="A920" s="4"/>
      <c r="B920" s="4"/>
      <c r="C920" s="80"/>
      <c r="D920" s="80"/>
      <c r="E920" s="80"/>
      <c r="F920" s="80"/>
      <c r="G920" s="80"/>
      <c r="H920" s="8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>
      <c r="A921" s="4"/>
      <c r="B921" s="4"/>
      <c r="C921" s="80"/>
      <c r="D921" s="80"/>
      <c r="E921" s="80"/>
      <c r="F921" s="80"/>
      <c r="G921" s="80"/>
      <c r="H921" s="8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>
      <c r="A922" s="4"/>
      <c r="B922" s="4"/>
      <c r="C922" s="80"/>
      <c r="D922" s="80"/>
      <c r="E922" s="80"/>
      <c r="F922" s="80"/>
      <c r="G922" s="80"/>
      <c r="H922" s="8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>
      <c r="A923" s="4"/>
      <c r="B923" s="4"/>
      <c r="C923" s="80"/>
      <c r="D923" s="80"/>
      <c r="E923" s="80"/>
      <c r="F923" s="80"/>
      <c r="G923" s="80"/>
      <c r="H923" s="8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>
      <c r="A924" s="4"/>
      <c r="B924" s="4"/>
      <c r="C924" s="80"/>
      <c r="D924" s="80"/>
      <c r="E924" s="80"/>
      <c r="F924" s="80"/>
      <c r="G924" s="80"/>
      <c r="H924" s="8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>
      <c r="A925" s="4"/>
      <c r="B925" s="4"/>
      <c r="C925" s="80"/>
      <c r="D925" s="80"/>
      <c r="E925" s="80"/>
      <c r="F925" s="80"/>
      <c r="G925" s="80"/>
      <c r="H925" s="8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>
      <c r="A926" s="4"/>
      <c r="B926" s="4"/>
      <c r="C926" s="80"/>
      <c r="D926" s="80"/>
      <c r="E926" s="80"/>
      <c r="F926" s="80"/>
      <c r="G926" s="80"/>
      <c r="H926" s="8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>
      <c r="A927" s="4"/>
      <c r="B927" s="4"/>
      <c r="C927" s="80"/>
      <c r="D927" s="80"/>
      <c r="E927" s="80"/>
      <c r="F927" s="80"/>
      <c r="G927" s="80"/>
      <c r="H927" s="8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>
      <c r="A928" s="4"/>
      <c r="B928" s="4"/>
      <c r="C928" s="80"/>
      <c r="D928" s="80"/>
      <c r="E928" s="80"/>
      <c r="F928" s="80"/>
      <c r="G928" s="80"/>
      <c r="H928" s="8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>
      <c r="A929" s="4"/>
      <c r="B929" s="4"/>
      <c r="C929" s="80"/>
      <c r="D929" s="80"/>
      <c r="E929" s="80"/>
      <c r="F929" s="80"/>
      <c r="G929" s="80"/>
      <c r="H929" s="8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>
      <c r="A930" s="4"/>
      <c r="B930" s="4"/>
      <c r="C930" s="80"/>
      <c r="D930" s="80"/>
      <c r="E930" s="80"/>
      <c r="F930" s="80"/>
      <c r="G930" s="80"/>
      <c r="H930" s="8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>
      <c r="A931" s="4"/>
      <c r="B931" s="4"/>
      <c r="C931" s="80"/>
      <c r="D931" s="80"/>
      <c r="E931" s="80"/>
      <c r="F931" s="80"/>
      <c r="G931" s="80"/>
      <c r="H931" s="8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>
      <c r="A932" s="4"/>
      <c r="B932" s="4"/>
      <c r="C932" s="80"/>
      <c r="D932" s="80"/>
      <c r="E932" s="80"/>
      <c r="F932" s="80"/>
      <c r="G932" s="80"/>
      <c r="H932" s="8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>
      <c r="A933" s="4"/>
      <c r="B933" s="4"/>
      <c r="C933" s="80"/>
      <c r="D933" s="80"/>
      <c r="E933" s="80"/>
      <c r="F933" s="80"/>
      <c r="G933" s="80"/>
      <c r="H933" s="8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>
      <c r="A934" s="4"/>
      <c r="B934" s="4"/>
      <c r="C934" s="80"/>
      <c r="D934" s="80"/>
      <c r="E934" s="80"/>
      <c r="F934" s="80"/>
      <c r="G934" s="80"/>
      <c r="H934" s="8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>
      <c r="A935" s="4"/>
      <c r="B935" s="4"/>
      <c r="C935" s="80"/>
      <c r="D935" s="80"/>
      <c r="E935" s="80"/>
      <c r="F935" s="80"/>
      <c r="G935" s="80"/>
      <c r="H935" s="8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>
      <c r="A936" s="4"/>
      <c r="B936" s="4"/>
      <c r="C936" s="80"/>
      <c r="D936" s="80"/>
      <c r="E936" s="80"/>
      <c r="F936" s="80"/>
      <c r="G936" s="80"/>
      <c r="H936" s="8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>
      <c r="A937" s="4"/>
      <c r="B937" s="4"/>
      <c r="C937" s="80"/>
      <c r="D937" s="80"/>
      <c r="E937" s="80"/>
      <c r="F937" s="80"/>
      <c r="G937" s="80"/>
      <c r="H937" s="8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>
      <c r="A938" s="4"/>
      <c r="B938" s="4"/>
      <c r="C938" s="80"/>
      <c r="D938" s="80"/>
      <c r="E938" s="80"/>
      <c r="F938" s="80"/>
      <c r="G938" s="80"/>
      <c r="H938" s="8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>
      <c r="A939" s="4"/>
      <c r="B939" s="4"/>
      <c r="C939" s="80"/>
      <c r="D939" s="80"/>
      <c r="E939" s="80"/>
      <c r="F939" s="80"/>
      <c r="G939" s="80"/>
      <c r="H939" s="8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>
      <c r="A940" s="4"/>
      <c r="B940" s="4"/>
      <c r="C940" s="80"/>
      <c r="D940" s="80"/>
      <c r="E940" s="80"/>
      <c r="F940" s="80"/>
      <c r="G940" s="80"/>
      <c r="H940" s="8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>
      <c r="A941" s="4"/>
      <c r="B941" s="4"/>
      <c r="C941" s="80"/>
      <c r="D941" s="80"/>
      <c r="E941" s="80"/>
      <c r="F941" s="80"/>
      <c r="G941" s="80"/>
      <c r="H941" s="8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>
      <c r="A942" s="4"/>
      <c r="B942" s="4"/>
      <c r="C942" s="80"/>
      <c r="D942" s="80"/>
      <c r="E942" s="80"/>
      <c r="F942" s="80"/>
      <c r="G942" s="80"/>
      <c r="H942" s="8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>
      <c r="A943" s="4"/>
      <c r="B943" s="4"/>
      <c r="C943" s="80"/>
      <c r="D943" s="80"/>
      <c r="E943" s="80"/>
      <c r="F943" s="80"/>
      <c r="G943" s="80"/>
      <c r="H943" s="8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>
      <c r="A944" s="4"/>
      <c r="B944" s="4"/>
      <c r="C944" s="80"/>
      <c r="D944" s="80"/>
      <c r="E944" s="80"/>
      <c r="F944" s="80"/>
      <c r="G944" s="80"/>
      <c r="H944" s="8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>
      <c r="A945" s="4"/>
      <c r="B945" s="4"/>
      <c r="C945" s="80"/>
      <c r="D945" s="80"/>
      <c r="E945" s="80"/>
      <c r="F945" s="80"/>
      <c r="G945" s="80"/>
      <c r="H945" s="8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>
      <c r="A946" s="4"/>
      <c r="B946" s="4"/>
      <c r="C946" s="80"/>
      <c r="D946" s="80"/>
      <c r="E946" s="80"/>
      <c r="F946" s="80"/>
      <c r="G946" s="80"/>
      <c r="H946" s="8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>
      <c r="A947" s="4"/>
      <c r="B947" s="4"/>
      <c r="C947" s="80"/>
      <c r="D947" s="80"/>
      <c r="E947" s="80"/>
      <c r="F947" s="80"/>
      <c r="G947" s="80"/>
      <c r="H947" s="8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>
      <c r="A948" s="4"/>
      <c r="B948" s="4"/>
      <c r="C948" s="80"/>
      <c r="D948" s="80"/>
      <c r="E948" s="80"/>
      <c r="F948" s="80"/>
      <c r="G948" s="80"/>
      <c r="H948" s="8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>
      <c r="A949" s="4"/>
      <c r="B949" s="4"/>
      <c r="C949" s="80"/>
      <c r="D949" s="80"/>
      <c r="E949" s="80"/>
      <c r="F949" s="80"/>
      <c r="G949" s="80"/>
      <c r="H949" s="8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>
      <c r="A950" s="4"/>
      <c r="B950" s="4"/>
      <c r="C950" s="80"/>
      <c r="D950" s="80"/>
      <c r="E950" s="80"/>
      <c r="F950" s="80"/>
      <c r="G950" s="80"/>
      <c r="H950" s="8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>
      <c r="A951" s="4"/>
      <c r="B951" s="4"/>
      <c r="C951" s="80"/>
      <c r="D951" s="80"/>
      <c r="E951" s="80"/>
      <c r="F951" s="80"/>
      <c r="G951" s="80"/>
      <c r="H951" s="8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>
      <c r="A952" s="4"/>
      <c r="B952" s="4"/>
      <c r="C952" s="80"/>
      <c r="D952" s="80"/>
      <c r="E952" s="80"/>
      <c r="F952" s="80"/>
      <c r="G952" s="80"/>
      <c r="H952" s="8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>
      <c r="A953" s="4"/>
      <c r="B953" s="4"/>
      <c r="C953" s="80"/>
      <c r="D953" s="80"/>
      <c r="E953" s="80"/>
      <c r="F953" s="80"/>
      <c r="G953" s="80"/>
      <c r="H953" s="8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>
      <c r="A954" s="4"/>
      <c r="B954" s="4"/>
      <c r="C954" s="80"/>
      <c r="D954" s="80"/>
      <c r="E954" s="80"/>
      <c r="F954" s="80"/>
      <c r="G954" s="80"/>
      <c r="H954" s="8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>
      <c r="A955" s="4"/>
      <c r="B955" s="4"/>
      <c r="C955" s="80"/>
      <c r="D955" s="80"/>
      <c r="E955" s="80"/>
      <c r="F955" s="80"/>
      <c r="G955" s="80"/>
      <c r="H955" s="8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>
      <c r="A956" s="4"/>
      <c r="B956" s="4"/>
      <c r="C956" s="80"/>
      <c r="D956" s="80"/>
      <c r="E956" s="80"/>
      <c r="F956" s="80"/>
      <c r="G956" s="80"/>
      <c r="H956" s="8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>
      <c r="A957" s="4"/>
      <c r="B957" s="4"/>
      <c r="C957" s="80"/>
      <c r="D957" s="80"/>
      <c r="E957" s="80"/>
      <c r="F957" s="80"/>
      <c r="G957" s="80"/>
      <c r="H957" s="8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>
      <c r="A958" s="4"/>
      <c r="B958" s="4"/>
      <c r="C958" s="80"/>
      <c r="D958" s="80"/>
      <c r="E958" s="80"/>
      <c r="F958" s="80"/>
      <c r="G958" s="80"/>
      <c r="H958" s="8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>
      <c r="A959" s="4"/>
      <c r="B959" s="4"/>
      <c r="C959" s="80"/>
      <c r="D959" s="80"/>
      <c r="E959" s="80"/>
      <c r="F959" s="80"/>
      <c r="G959" s="80"/>
      <c r="H959" s="8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>
      <c r="A960" s="4"/>
      <c r="B960" s="4"/>
      <c r="C960" s="80"/>
      <c r="D960" s="80"/>
      <c r="E960" s="80"/>
      <c r="F960" s="80"/>
      <c r="G960" s="80"/>
      <c r="H960" s="8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>
      <c r="A961" s="4"/>
      <c r="B961" s="4"/>
      <c r="C961" s="80"/>
      <c r="D961" s="80"/>
      <c r="E961" s="80"/>
      <c r="F961" s="80"/>
      <c r="G961" s="80"/>
      <c r="H961" s="8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>
      <c r="A962" s="4"/>
      <c r="B962" s="4"/>
      <c r="C962" s="80"/>
      <c r="D962" s="80"/>
      <c r="E962" s="80"/>
      <c r="F962" s="80"/>
      <c r="G962" s="80"/>
      <c r="H962" s="8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>
      <c r="A963" s="4"/>
      <c r="B963" s="4"/>
      <c r="C963" s="80"/>
      <c r="D963" s="80"/>
      <c r="E963" s="80"/>
      <c r="F963" s="80"/>
      <c r="G963" s="80"/>
      <c r="H963" s="8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>
      <c r="A964" s="4"/>
      <c r="B964" s="4"/>
      <c r="C964" s="80"/>
      <c r="D964" s="80"/>
      <c r="E964" s="80"/>
      <c r="F964" s="80"/>
      <c r="G964" s="80"/>
      <c r="H964" s="8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>
      <c r="A965" s="4"/>
      <c r="B965" s="4"/>
      <c r="C965" s="80"/>
      <c r="D965" s="80"/>
      <c r="E965" s="80"/>
      <c r="F965" s="80"/>
      <c r="G965" s="80"/>
      <c r="H965" s="8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>
      <c r="A966" s="4"/>
      <c r="B966" s="4"/>
      <c r="C966" s="80"/>
      <c r="D966" s="80"/>
      <c r="E966" s="80"/>
      <c r="F966" s="80"/>
      <c r="G966" s="80"/>
      <c r="H966" s="8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>
      <c r="A967" s="4"/>
      <c r="B967" s="4"/>
      <c r="C967" s="80"/>
      <c r="D967" s="80"/>
      <c r="E967" s="80"/>
      <c r="F967" s="80"/>
      <c r="G967" s="80"/>
      <c r="H967" s="8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>
      <c r="A968" s="4"/>
      <c r="B968" s="4"/>
      <c r="C968" s="80"/>
      <c r="D968" s="80"/>
      <c r="E968" s="80"/>
      <c r="F968" s="80"/>
      <c r="G968" s="80"/>
      <c r="H968" s="8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>
      <c r="A969" s="4"/>
      <c r="B969" s="4"/>
      <c r="C969" s="80"/>
      <c r="D969" s="80"/>
      <c r="E969" s="80"/>
      <c r="F969" s="80"/>
      <c r="G969" s="80"/>
      <c r="H969" s="8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>
      <c r="A970" s="4"/>
      <c r="B970" s="4"/>
      <c r="C970" s="80"/>
      <c r="D970" s="80"/>
      <c r="E970" s="80"/>
      <c r="F970" s="80"/>
      <c r="G970" s="80"/>
      <c r="H970" s="8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>
      <c r="A971" s="4"/>
      <c r="B971" s="4"/>
      <c r="C971" s="80"/>
      <c r="D971" s="80"/>
      <c r="E971" s="80"/>
      <c r="F971" s="80"/>
      <c r="G971" s="80"/>
      <c r="H971" s="8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>
      <c r="A972" s="4"/>
      <c r="B972" s="4"/>
      <c r="C972" s="80"/>
      <c r="D972" s="80"/>
      <c r="E972" s="80"/>
      <c r="F972" s="80"/>
      <c r="G972" s="80"/>
      <c r="H972" s="8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>
      <c r="A973" s="4"/>
      <c r="B973" s="4"/>
      <c r="C973" s="80"/>
      <c r="D973" s="80"/>
      <c r="E973" s="80"/>
      <c r="F973" s="80"/>
      <c r="G973" s="80"/>
      <c r="H973" s="8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>
      <c r="A974" s="4"/>
      <c r="B974" s="4"/>
      <c r="C974" s="80"/>
      <c r="D974" s="80"/>
      <c r="E974" s="80"/>
      <c r="F974" s="80"/>
      <c r="G974" s="80"/>
      <c r="H974" s="8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>
      <c r="A975" s="4"/>
      <c r="B975" s="4"/>
      <c r="C975" s="80"/>
      <c r="D975" s="80"/>
      <c r="E975" s="80"/>
      <c r="F975" s="80"/>
      <c r="G975" s="80"/>
      <c r="H975" s="8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>
      <c r="A976" s="4"/>
      <c r="B976" s="4"/>
      <c r="C976" s="80"/>
      <c r="D976" s="80"/>
      <c r="E976" s="80"/>
      <c r="F976" s="80"/>
      <c r="G976" s="80"/>
      <c r="H976" s="8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>
      <c r="A977" s="4"/>
      <c r="B977" s="4"/>
      <c r="C977" s="80"/>
      <c r="D977" s="80"/>
      <c r="E977" s="80"/>
      <c r="F977" s="80"/>
      <c r="G977" s="80"/>
      <c r="H977" s="8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>
      <c r="A978" s="4"/>
      <c r="B978" s="4"/>
      <c r="C978" s="80"/>
      <c r="D978" s="80"/>
      <c r="E978" s="80"/>
      <c r="F978" s="80"/>
      <c r="G978" s="80"/>
      <c r="H978" s="8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>
      <c r="A979" s="4"/>
      <c r="B979" s="4"/>
      <c r="C979" s="80"/>
      <c r="D979" s="80"/>
      <c r="E979" s="80"/>
      <c r="F979" s="80"/>
      <c r="G979" s="80"/>
      <c r="H979" s="8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>
      <c r="A980" s="4"/>
      <c r="B980" s="4"/>
      <c r="C980" s="80"/>
      <c r="D980" s="80"/>
      <c r="E980" s="80"/>
      <c r="F980" s="80"/>
      <c r="G980" s="80"/>
      <c r="H980" s="8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>
      <c r="A981" s="4"/>
      <c r="B981" s="4"/>
      <c r="C981" s="80"/>
      <c r="D981" s="80"/>
      <c r="E981" s="80"/>
      <c r="F981" s="80"/>
      <c r="G981" s="80"/>
      <c r="H981" s="8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>
      <c r="A982" s="4"/>
      <c r="B982" s="4"/>
      <c r="C982" s="80"/>
      <c r="D982" s="80"/>
      <c r="E982" s="80"/>
      <c r="F982" s="80"/>
      <c r="G982" s="80"/>
      <c r="H982" s="8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>
      <c r="A983" s="4"/>
      <c r="B983" s="4"/>
      <c r="C983" s="80"/>
      <c r="D983" s="80"/>
      <c r="E983" s="80"/>
      <c r="F983" s="80"/>
      <c r="G983" s="80"/>
      <c r="H983" s="8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>
      <c r="A984" s="4"/>
      <c r="B984" s="4"/>
      <c r="C984" s="80"/>
      <c r="D984" s="80"/>
      <c r="E984" s="80"/>
      <c r="F984" s="80"/>
      <c r="G984" s="80"/>
      <c r="H984" s="8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>
      <c r="A985" s="4"/>
      <c r="B985" s="4"/>
      <c r="C985" s="80"/>
      <c r="D985" s="80"/>
      <c r="E985" s="80"/>
      <c r="F985" s="80"/>
      <c r="G985" s="80"/>
      <c r="H985" s="8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>
      <c r="A986" s="4"/>
      <c r="B986" s="4"/>
      <c r="C986" s="80"/>
      <c r="D986" s="80"/>
      <c r="E986" s="80"/>
      <c r="F986" s="80"/>
      <c r="G986" s="80"/>
      <c r="H986" s="8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>
      <c r="A987" s="4"/>
      <c r="B987" s="4"/>
      <c r="C987" s="80"/>
      <c r="D987" s="80"/>
      <c r="E987" s="80"/>
      <c r="F987" s="80"/>
      <c r="G987" s="80"/>
      <c r="H987" s="8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>
      <c r="A988" s="4"/>
      <c r="B988" s="4"/>
      <c r="C988" s="80"/>
      <c r="D988" s="80"/>
      <c r="E988" s="80"/>
      <c r="F988" s="80"/>
      <c r="G988" s="80"/>
      <c r="H988" s="8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>
      <c r="A989" s="4"/>
      <c r="B989" s="4"/>
      <c r="C989" s="80"/>
      <c r="D989" s="80"/>
      <c r="E989" s="80"/>
      <c r="F989" s="80"/>
      <c r="G989" s="80"/>
      <c r="H989" s="8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>
      <c r="A990" s="4"/>
      <c r="B990" s="4"/>
      <c r="C990" s="80"/>
      <c r="D990" s="80"/>
      <c r="E990" s="80"/>
      <c r="F990" s="80"/>
      <c r="G990" s="80"/>
      <c r="H990" s="8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>
      <c r="A991" s="4"/>
      <c r="B991" s="4"/>
      <c r="C991" s="80"/>
      <c r="D991" s="80"/>
      <c r="E991" s="80"/>
      <c r="F991" s="80"/>
      <c r="G991" s="80"/>
      <c r="H991" s="8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>
      <c r="A992" s="4"/>
      <c r="B992" s="4"/>
      <c r="C992" s="80"/>
      <c r="D992" s="80"/>
      <c r="E992" s="80"/>
      <c r="F992" s="80"/>
      <c r="G992" s="80"/>
      <c r="H992" s="8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>
      <c r="A993" s="4"/>
      <c r="B993" s="4"/>
      <c r="C993" s="80"/>
      <c r="D993" s="80"/>
      <c r="E993" s="80"/>
      <c r="F993" s="80"/>
      <c r="G993" s="80"/>
      <c r="H993" s="8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>
      <c r="A994" s="4"/>
      <c r="B994" s="4"/>
      <c r="C994" s="80"/>
      <c r="D994" s="80"/>
      <c r="E994" s="80"/>
      <c r="F994" s="80"/>
      <c r="G994" s="80"/>
      <c r="H994" s="8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>
      <c r="A995" s="4"/>
      <c r="B995" s="4"/>
      <c r="C995" s="80"/>
      <c r="D995" s="80"/>
      <c r="E995" s="80"/>
      <c r="F995" s="80"/>
      <c r="G995" s="80"/>
      <c r="H995" s="80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>
      <c r="A996" s="4"/>
      <c r="B996" s="4"/>
      <c r="C996" s="80"/>
      <c r="D996" s="80"/>
      <c r="E996" s="80"/>
      <c r="F996" s="80"/>
      <c r="G996" s="80"/>
      <c r="H996" s="80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customHeight="1">
      <c r="A997" s="4"/>
      <c r="B997" s="4"/>
      <c r="C997" s="80"/>
      <c r="D997" s="80"/>
      <c r="E997" s="80"/>
      <c r="F997" s="80"/>
      <c r="G997" s="80"/>
      <c r="H997" s="80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customHeight="1">
      <c r="A998" s="4"/>
      <c r="B998" s="4"/>
      <c r="C998" s="80"/>
      <c r="D998" s="80"/>
      <c r="E998" s="80"/>
      <c r="F998" s="80"/>
      <c r="G998" s="80"/>
      <c r="H998" s="80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5.75" customHeight="1">
      <c r="A999" s="4"/>
      <c r="B999" s="4"/>
      <c r="C999" s="80"/>
      <c r="D999" s="80"/>
      <c r="E999" s="80"/>
      <c r="F999" s="80"/>
      <c r="G999" s="80"/>
      <c r="H999" s="80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</sheetData>
  <sheetProtection algorithmName="SHA-512" hashValue="SCGVqG5pKO22fkZJESW7M7cBtWYg5eMCXT1nkvOe94vwXOXMGRUSfXnl61VZxcRC8AxjtBxHqFfT/flDd9PuKg==" saltValue="Cw12OZZ4rxj6/u/5O2rHYA==" spinCount="100000" sheet="1" objects="1" scenarios="1"/>
  <mergeCells count="19">
    <mergeCell ref="F6:F8"/>
    <mergeCell ref="N6:N8"/>
    <mergeCell ref="O6:O8"/>
    <mergeCell ref="P6:P8"/>
    <mergeCell ref="A5:H5"/>
    <mergeCell ref="A6:A8"/>
    <mergeCell ref="B6:B8"/>
    <mergeCell ref="C6:C8"/>
    <mergeCell ref="D6:D8"/>
    <mergeCell ref="E6:E8"/>
    <mergeCell ref="Q6:Q8"/>
    <mergeCell ref="R6:R8"/>
    <mergeCell ref="G6:G8"/>
    <mergeCell ref="H6:H8"/>
    <mergeCell ref="I6:I8"/>
    <mergeCell ref="J6:J8"/>
    <mergeCell ref="K6:K8"/>
    <mergeCell ref="L6:L8"/>
    <mergeCell ref="M6:M8"/>
  </mergeCells>
  <phoneticPr fontId="11" type="noConversion"/>
  <conditionalFormatting sqref="C9:H48">
    <cfRule type="containsErrors" dxfId="8" priority="2">
      <formula>ISERROR(C9)</formula>
    </cfRule>
    <cfRule type="cellIs" dxfId="7" priority="3" operator="lessThan">
      <formula>6</formula>
    </cfRule>
  </conditionalFormatting>
  <conditionalFormatting sqref="B9:B48">
    <cfRule type="cellIs" dxfId="6" priority="1" operator="equal">
      <formula>0</formula>
    </cfRule>
  </conditionalFormatting>
  <dataValidations disablePrompts="1" count="1">
    <dataValidation type="decimal" allowBlank="1" showInputMessage="1" showErrorMessage="1" errorTitle="VALOR INCORRECTO" error="Recuerde que la calificacion debe estar entre 1 y 5" sqref="G9:G48">
      <formula1>1</formula1>
      <formula2>5</formula2>
    </dataValidation>
  </dataValidations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E1000"/>
  <sheetViews>
    <sheetView showGridLines="0" tabSelected="1" workbookViewId="0">
      <selection activeCell="O4" sqref="O4"/>
    </sheetView>
  </sheetViews>
  <sheetFormatPr baseColWidth="10" defaultColWidth="14.42578125" defaultRowHeight="15" customHeight="1"/>
  <cols>
    <col min="1" max="1" width="14.140625" customWidth="1"/>
    <col min="2" max="2" width="7.42578125" customWidth="1"/>
    <col min="3" max="3" width="8" customWidth="1"/>
    <col min="4" max="4" width="8.42578125" customWidth="1"/>
    <col min="5" max="5" width="8.5703125" customWidth="1"/>
    <col min="6" max="25" width="10.7109375" customWidth="1"/>
  </cols>
  <sheetData>
    <row r="1" spans="1:5" ht="15" customHeight="1">
      <c r="A1" s="220"/>
      <c r="B1" s="217" t="s">
        <v>69</v>
      </c>
      <c r="C1" s="218"/>
      <c r="D1" s="218"/>
      <c r="E1" s="218"/>
    </row>
    <row r="2" spans="1:5" ht="15" customHeight="1">
      <c r="A2" s="221"/>
      <c r="B2" s="219"/>
      <c r="C2" s="219"/>
      <c r="D2" s="219"/>
      <c r="E2" s="219"/>
    </row>
    <row r="3" spans="1:5" ht="20.25" customHeight="1" thickBot="1">
      <c r="A3" s="222"/>
      <c r="B3" s="214" t="s">
        <v>36</v>
      </c>
      <c r="C3" s="215"/>
      <c r="D3" s="215"/>
      <c r="E3" s="216"/>
    </row>
    <row r="4" spans="1:5" ht="24.75" customHeight="1">
      <c r="A4" s="108" t="s">
        <v>37</v>
      </c>
      <c r="B4" s="94" t="s">
        <v>65</v>
      </c>
      <c r="C4" s="94" t="s">
        <v>67</v>
      </c>
      <c r="D4" s="94" t="s">
        <v>66</v>
      </c>
      <c r="E4" s="7" t="s">
        <v>31</v>
      </c>
    </row>
    <row r="5" spans="1:5" ht="15.75">
      <c r="A5" s="1" t="s">
        <v>32</v>
      </c>
      <c r="B5" s="93">
        <f>FINAL!N10</f>
        <v>0</v>
      </c>
      <c r="C5" s="93">
        <f>FINAL!O10</f>
        <v>0</v>
      </c>
      <c r="D5" s="93">
        <f>FINAL!P10</f>
        <v>0</v>
      </c>
      <c r="E5" s="93">
        <f>FINAL!R10</f>
        <v>0</v>
      </c>
    </row>
    <row r="6" spans="1:5" ht="15.75">
      <c r="A6" s="1" t="s">
        <v>33</v>
      </c>
      <c r="B6" s="93">
        <f>FINAL!N12</f>
        <v>0</v>
      </c>
      <c r="C6" s="93">
        <f>FINAL!O12</f>
        <v>0</v>
      </c>
      <c r="D6" s="93">
        <f>FINAL!P12</f>
        <v>0</v>
      </c>
      <c r="E6" s="93">
        <f>FINAL!R12</f>
        <v>0</v>
      </c>
    </row>
    <row r="7" spans="1:5" ht="15.75">
      <c r="A7" s="1" t="s">
        <v>34</v>
      </c>
      <c r="B7" s="93">
        <f>FINAL!N14</f>
        <v>0</v>
      </c>
      <c r="C7" s="93">
        <f>FINAL!O14</f>
        <v>0</v>
      </c>
      <c r="D7" s="93">
        <f>FINAL!P14</f>
        <v>0</v>
      </c>
      <c r="E7" s="93">
        <f>FINAL!R14</f>
        <v>0</v>
      </c>
    </row>
    <row r="8" spans="1:5" ht="15.75">
      <c r="A8" s="1" t="s">
        <v>35</v>
      </c>
      <c r="B8" s="93">
        <f>FINAL!N16</f>
        <v>0</v>
      </c>
      <c r="C8" s="93">
        <f>FINAL!O16</f>
        <v>0</v>
      </c>
      <c r="D8" s="93">
        <f>FINAL!P16</f>
        <v>0</v>
      </c>
      <c r="E8" s="93">
        <f>FINAL!R16</f>
        <v>0</v>
      </c>
    </row>
    <row r="9" spans="1:5" ht="15" hidden="1" customHeight="1">
      <c r="B9">
        <f>SUM(B5:B8)</f>
        <v>0</v>
      </c>
      <c r="C9">
        <f t="shared" ref="C9:E9" si="0">SUM(C5:C8)</f>
        <v>0</v>
      </c>
      <c r="D9">
        <f t="shared" si="0"/>
        <v>0</v>
      </c>
      <c r="E9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algorithmName="SHA-512" hashValue="IbiKY2EQYqhm2BVHSXvaegc76Ms4L76pg34k/xYYmvc6uzNbe21y8BghNtIRi1KrxpI0nSnppuAX/6+GzLufpQ==" saltValue="mqVk5NzJfMm4OEd4Ge9iIA==" spinCount="100000" sheet="1" objects="1" scenarios="1" selectLockedCells="1" selectUnlockedCells="1"/>
  <mergeCells count="3">
    <mergeCell ref="B3:E3"/>
    <mergeCell ref="B1:E2"/>
    <mergeCell ref="A1:A3"/>
  </mergeCells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F169"/>
  <sheetViews>
    <sheetView showGridLines="0" showRowColHeaders="0" workbookViewId="0">
      <pane ySplit="9" topLeftCell="A10" activePane="bottomLeft" state="frozen"/>
      <selection pane="bottomLeft" activeCell="E133" sqref="E133"/>
    </sheetView>
  </sheetViews>
  <sheetFormatPr baseColWidth="10" defaultRowHeight="15"/>
  <cols>
    <col min="1" max="1" width="5.140625" customWidth="1"/>
    <col min="3" max="3" width="40.42578125" customWidth="1"/>
    <col min="5" max="5" width="12.42578125" style="29" bestFit="1" customWidth="1"/>
    <col min="6" max="6" width="14.140625" customWidth="1"/>
  </cols>
  <sheetData>
    <row r="9" spans="2:6" ht="15.75" thickBot="1">
      <c r="B9" s="85" t="s">
        <v>53</v>
      </c>
      <c r="C9" s="86" t="s">
        <v>63</v>
      </c>
      <c r="D9" s="87" t="s">
        <v>64</v>
      </c>
      <c r="E9" s="90" t="s">
        <v>58</v>
      </c>
      <c r="F9" s="91" t="s">
        <v>59</v>
      </c>
    </row>
    <row r="10" spans="2:6" ht="15.75" hidden="1">
      <c r="B10" s="77">
        <f>FINAL!A9</f>
        <v>1</v>
      </c>
      <c r="C10" s="78">
        <f>FINAL!B9</f>
        <v>0</v>
      </c>
      <c r="D10" s="88" t="e">
        <f>FINAL!C9</f>
        <v>#DIV/0!</v>
      </c>
      <c r="E10" s="90" t="s">
        <v>47</v>
      </c>
      <c r="F10" s="92" t="e">
        <f>IF(D10&lt;2.95,"BAJO",IF(D10&lt;4,"BASICO",IF(D10&lt;4.5,"ALTO","SUPERIOR")))</f>
        <v>#DIV/0!</v>
      </c>
    </row>
    <row r="11" spans="2:6" ht="15.75" hidden="1">
      <c r="B11" s="1">
        <f>FINAL!A10</f>
        <v>2</v>
      </c>
      <c r="C11" s="2">
        <f>FINAL!B10</f>
        <v>0</v>
      </c>
      <c r="D11" s="89" t="e">
        <f>FINAL!C10</f>
        <v>#DIV/0!</v>
      </c>
      <c r="E11" s="90" t="s">
        <v>47</v>
      </c>
      <c r="F11" s="92" t="e">
        <f t="shared" ref="F11:F41" si="0">IF(D11&lt;2.95,"BAJO",IF(D11&lt;4,"BASICO",IF(D11&lt;4.5,"ALTO","SUPERIOR")))</f>
        <v>#DIV/0!</v>
      </c>
    </row>
    <row r="12" spans="2:6" ht="15.75" hidden="1">
      <c r="B12" s="1">
        <f>FINAL!A11</f>
        <v>3</v>
      </c>
      <c r="C12" s="2">
        <f>FINAL!B11</f>
        <v>0</v>
      </c>
      <c r="D12" s="89" t="e">
        <f>FINAL!C11</f>
        <v>#DIV/0!</v>
      </c>
      <c r="E12" s="90" t="s">
        <v>47</v>
      </c>
      <c r="F12" s="92" t="e">
        <f t="shared" si="0"/>
        <v>#DIV/0!</v>
      </c>
    </row>
    <row r="13" spans="2:6" ht="15.75" hidden="1">
      <c r="B13" s="1">
        <f>FINAL!A12</f>
        <v>4</v>
      </c>
      <c r="C13" s="2">
        <f>FINAL!B12</f>
        <v>0</v>
      </c>
      <c r="D13" s="89" t="e">
        <f>FINAL!C12</f>
        <v>#DIV/0!</v>
      </c>
      <c r="E13" s="90" t="s">
        <v>47</v>
      </c>
      <c r="F13" s="92" t="e">
        <f t="shared" si="0"/>
        <v>#DIV/0!</v>
      </c>
    </row>
    <row r="14" spans="2:6" ht="15.75" hidden="1">
      <c r="B14" s="1">
        <f>FINAL!A13</f>
        <v>5</v>
      </c>
      <c r="C14" s="2">
        <f>FINAL!B13</f>
        <v>0</v>
      </c>
      <c r="D14" s="89" t="e">
        <f>FINAL!C13</f>
        <v>#DIV/0!</v>
      </c>
      <c r="E14" s="90" t="s">
        <v>47</v>
      </c>
      <c r="F14" s="92" t="e">
        <f t="shared" si="0"/>
        <v>#DIV/0!</v>
      </c>
    </row>
    <row r="15" spans="2:6" ht="15.75" hidden="1">
      <c r="B15" s="1">
        <f>FINAL!A14</f>
        <v>6</v>
      </c>
      <c r="C15" s="2">
        <f>FINAL!B14</f>
        <v>0</v>
      </c>
      <c r="D15" s="89" t="e">
        <f>FINAL!C14</f>
        <v>#DIV/0!</v>
      </c>
      <c r="E15" s="90" t="s">
        <v>47</v>
      </c>
      <c r="F15" s="92" t="e">
        <f t="shared" si="0"/>
        <v>#DIV/0!</v>
      </c>
    </row>
    <row r="16" spans="2:6" ht="15.75" hidden="1">
      <c r="B16" s="1">
        <f>FINAL!A15</f>
        <v>7</v>
      </c>
      <c r="C16" s="2">
        <f>FINAL!B15</f>
        <v>0</v>
      </c>
      <c r="D16" s="89" t="e">
        <f>FINAL!C15</f>
        <v>#DIV/0!</v>
      </c>
      <c r="E16" s="90" t="s">
        <v>47</v>
      </c>
      <c r="F16" s="92" t="e">
        <f t="shared" si="0"/>
        <v>#DIV/0!</v>
      </c>
    </row>
    <row r="17" spans="2:6" ht="15.75" hidden="1">
      <c r="B17" s="1">
        <f>FINAL!A16</f>
        <v>8</v>
      </c>
      <c r="C17" s="2">
        <f>FINAL!B16</f>
        <v>0</v>
      </c>
      <c r="D17" s="89" t="e">
        <f>FINAL!C16</f>
        <v>#DIV/0!</v>
      </c>
      <c r="E17" s="90" t="s">
        <v>47</v>
      </c>
      <c r="F17" s="92" t="e">
        <f t="shared" si="0"/>
        <v>#DIV/0!</v>
      </c>
    </row>
    <row r="18" spans="2:6" ht="15.75" hidden="1">
      <c r="B18" s="1">
        <f>FINAL!A17</f>
        <v>9</v>
      </c>
      <c r="C18" s="2">
        <f>FINAL!B17</f>
        <v>0</v>
      </c>
      <c r="D18" s="89" t="e">
        <f>FINAL!C17</f>
        <v>#DIV/0!</v>
      </c>
      <c r="E18" s="90" t="s">
        <v>47</v>
      </c>
      <c r="F18" s="92" t="e">
        <f t="shared" si="0"/>
        <v>#DIV/0!</v>
      </c>
    </row>
    <row r="19" spans="2:6" ht="15.75" hidden="1">
      <c r="B19" s="1">
        <f>FINAL!A18</f>
        <v>10</v>
      </c>
      <c r="C19" s="2">
        <f>FINAL!B18</f>
        <v>0</v>
      </c>
      <c r="D19" s="89" t="e">
        <f>FINAL!C18</f>
        <v>#DIV/0!</v>
      </c>
      <c r="E19" s="90" t="s">
        <v>47</v>
      </c>
      <c r="F19" s="92" t="e">
        <f t="shared" si="0"/>
        <v>#DIV/0!</v>
      </c>
    </row>
    <row r="20" spans="2:6" ht="15.75" hidden="1">
      <c r="B20" s="1">
        <f>FINAL!A19</f>
        <v>11</v>
      </c>
      <c r="C20" s="2">
        <f>FINAL!B19</f>
        <v>0</v>
      </c>
      <c r="D20" s="89" t="e">
        <f>FINAL!C19</f>
        <v>#DIV/0!</v>
      </c>
      <c r="E20" s="90" t="s">
        <v>47</v>
      </c>
      <c r="F20" s="92" t="e">
        <f t="shared" si="0"/>
        <v>#DIV/0!</v>
      </c>
    </row>
    <row r="21" spans="2:6" ht="15.75" hidden="1">
      <c r="B21" s="1">
        <f>FINAL!A20</f>
        <v>12</v>
      </c>
      <c r="C21" s="2">
        <f>FINAL!B20</f>
        <v>0</v>
      </c>
      <c r="D21" s="89" t="e">
        <f>FINAL!C20</f>
        <v>#DIV/0!</v>
      </c>
      <c r="E21" s="90" t="s">
        <v>47</v>
      </c>
      <c r="F21" s="92" t="e">
        <f t="shared" si="0"/>
        <v>#DIV/0!</v>
      </c>
    </row>
    <row r="22" spans="2:6" ht="15.75" hidden="1">
      <c r="B22" s="1">
        <f>FINAL!A21</f>
        <v>13</v>
      </c>
      <c r="C22" s="2">
        <f>FINAL!B21</f>
        <v>0</v>
      </c>
      <c r="D22" s="89" t="e">
        <f>FINAL!C21</f>
        <v>#DIV/0!</v>
      </c>
      <c r="E22" s="90" t="s">
        <v>47</v>
      </c>
      <c r="F22" s="92" t="e">
        <f t="shared" si="0"/>
        <v>#DIV/0!</v>
      </c>
    </row>
    <row r="23" spans="2:6" ht="15.75" hidden="1">
      <c r="B23" s="1">
        <f>FINAL!A22</f>
        <v>14</v>
      </c>
      <c r="C23" s="2">
        <f>FINAL!B22</f>
        <v>0</v>
      </c>
      <c r="D23" s="89" t="e">
        <f>FINAL!C22</f>
        <v>#DIV/0!</v>
      </c>
      <c r="E23" s="90" t="s">
        <v>47</v>
      </c>
      <c r="F23" s="92" t="e">
        <f t="shared" si="0"/>
        <v>#DIV/0!</v>
      </c>
    </row>
    <row r="24" spans="2:6" ht="15.75" hidden="1">
      <c r="B24" s="1">
        <f>FINAL!A23</f>
        <v>15</v>
      </c>
      <c r="C24" s="2">
        <f>FINAL!B23</f>
        <v>0</v>
      </c>
      <c r="D24" s="89" t="e">
        <f>FINAL!C23</f>
        <v>#DIV/0!</v>
      </c>
      <c r="E24" s="90" t="s">
        <v>47</v>
      </c>
      <c r="F24" s="92" t="e">
        <f t="shared" si="0"/>
        <v>#DIV/0!</v>
      </c>
    </row>
    <row r="25" spans="2:6" ht="15.75" hidden="1">
      <c r="B25" s="1">
        <f>FINAL!A24</f>
        <v>16</v>
      </c>
      <c r="C25" s="2">
        <f>FINAL!B24</f>
        <v>0</v>
      </c>
      <c r="D25" s="89" t="e">
        <f>FINAL!C24</f>
        <v>#DIV/0!</v>
      </c>
      <c r="E25" s="90" t="s">
        <v>47</v>
      </c>
      <c r="F25" s="92" t="e">
        <f t="shared" si="0"/>
        <v>#DIV/0!</v>
      </c>
    </row>
    <row r="26" spans="2:6" ht="15.75" hidden="1">
      <c r="B26" s="1">
        <f>FINAL!A25</f>
        <v>17</v>
      </c>
      <c r="C26" s="2">
        <f>FINAL!B25</f>
        <v>0</v>
      </c>
      <c r="D26" s="89" t="e">
        <f>FINAL!C25</f>
        <v>#DIV/0!</v>
      </c>
      <c r="E26" s="90" t="s">
        <v>47</v>
      </c>
      <c r="F26" s="92" t="e">
        <f t="shared" si="0"/>
        <v>#DIV/0!</v>
      </c>
    </row>
    <row r="27" spans="2:6" ht="15.75" hidden="1">
      <c r="B27" s="1">
        <f>FINAL!A26</f>
        <v>18</v>
      </c>
      <c r="C27" s="2">
        <f>FINAL!B26</f>
        <v>0</v>
      </c>
      <c r="D27" s="89" t="e">
        <f>FINAL!C26</f>
        <v>#DIV/0!</v>
      </c>
      <c r="E27" s="90" t="s">
        <v>47</v>
      </c>
      <c r="F27" s="92" t="e">
        <f t="shared" si="0"/>
        <v>#DIV/0!</v>
      </c>
    </row>
    <row r="28" spans="2:6" ht="15.75" hidden="1">
      <c r="B28" s="1">
        <f>FINAL!A27</f>
        <v>19</v>
      </c>
      <c r="C28" s="2">
        <f>FINAL!B27</f>
        <v>0</v>
      </c>
      <c r="D28" s="89" t="e">
        <f>FINAL!C27</f>
        <v>#DIV/0!</v>
      </c>
      <c r="E28" s="90" t="s">
        <v>47</v>
      </c>
      <c r="F28" s="92" t="e">
        <f t="shared" si="0"/>
        <v>#DIV/0!</v>
      </c>
    </row>
    <row r="29" spans="2:6" ht="15.75" hidden="1">
      <c r="B29" s="1">
        <f>FINAL!A28</f>
        <v>20</v>
      </c>
      <c r="C29" s="2">
        <f>FINAL!B28</f>
        <v>0</v>
      </c>
      <c r="D29" s="89" t="e">
        <f>FINAL!C28</f>
        <v>#DIV/0!</v>
      </c>
      <c r="E29" s="90" t="s">
        <v>47</v>
      </c>
      <c r="F29" s="92" t="e">
        <f t="shared" si="0"/>
        <v>#DIV/0!</v>
      </c>
    </row>
    <row r="30" spans="2:6" ht="15.75" hidden="1">
      <c r="B30" s="1">
        <f>FINAL!A29</f>
        <v>21</v>
      </c>
      <c r="C30" s="2">
        <f>FINAL!B29</f>
        <v>0</v>
      </c>
      <c r="D30" s="89" t="e">
        <f>FINAL!C29</f>
        <v>#DIV/0!</v>
      </c>
      <c r="E30" s="90" t="s">
        <v>47</v>
      </c>
      <c r="F30" s="92" t="e">
        <f t="shared" si="0"/>
        <v>#DIV/0!</v>
      </c>
    </row>
    <row r="31" spans="2:6" ht="15.75" hidden="1">
      <c r="B31" s="1">
        <f>FINAL!A30</f>
        <v>22</v>
      </c>
      <c r="C31" s="2">
        <f>FINAL!B30</f>
        <v>0</v>
      </c>
      <c r="D31" s="89" t="e">
        <f>FINAL!C30</f>
        <v>#DIV/0!</v>
      </c>
      <c r="E31" s="90" t="s">
        <v>47</v>
      </c>
      <c r="F31" s="92" t="e">
        <f t="shared" si="0"/>
        <v>#DIV/0!</v>
      </c>
    </row>
    <row r="32" spans="2:6" ht="15.75" hidden="1">
      <c r="B32" s="1">
        <f>FINAL!A31</f>
        <v>23</v>
      </c>
      <c r="C32" s="2">
        <f>FINAL!B31</f>
        <v>0</v>
      </c>
      <c r="D32" s="89" t="e">
        <f>FINAL!C31</f>
        <v>#DIV/0!</v>
      </c>
      <c r="E32" s="90" t="s">
        <v>47</v>
      </c>
      <c r="F32" s="92" t="e">
        <f t="shared" si="0"/>
        <v>#DIV/0!</v>
      </c>
    </row>
    <row r="33" spans="2:6" ht="15.75" hidden="1">
      <c r="B33" s="1">
        <f>FINAL!A32</f>
        <v>24</v>
      </c>
      <c r="C33" s="2">
        <f>FINAL!B32</f>
        <v>0</v>
      </c>
      <c r="D33" s="89" t="e">
        <f>FINAL!C32</f>
        <v>#DIV/0!</v>
      </c>
      <c r="E33" s="90" t="s">
        <v>47</v>
      </c>
      <c r="F33" s="92" t="e">
        <f t="shared" si="0"/>
        <v>#DIV/0!</v>
      </c>
    </row>
    <row r="34" spans="2:6" ht="15.75" hidden="1">
      <c r="B34" s="1">
        <f>FINAL!A33</f>
        <v>25</v>
      </c>
      <c r="C34" s="2">
        <f>FINAL!B33</f>
        <v>0</v>
      </c>
      <c r="D34" s="89" t="e">
        <f>FINAL!C33</f>
        <v>#DIV/0!</v>
      </c>
      <c r="E34" s="90" t="s">
        <v>47</v>
      </c>
      <c r="F34" s="92" t="e">
        <f t="shared" si="0"/>
        <v>#DIV/0!</v>
      </c>
    </row>
    <row r="35" spans="2:6" ht="15.75" hidden="1">
      <c r="B35" s="1">
        <f>FINAL!A34</f>
        <v>26</v>
      </c>
      <c r="C35" s="2">
        <f>FINAL!B34</f>
        <v>0</v>
      </c>
      <c r="D35" s="89" t="e">
        <f>FINAL!C34</f>
        <v>#DIV/0!</v>
      </c>
      <c r="E35" s="90" t="s">
        <v>47</v>
      </c>
      <c r="F35" s="92" t="e">
        <f t="shared" si="0"/>
        <v>#DIV/0!</v>
      </c>
    </row>
    <row r="36" spans="2:6" ht="15.75" hidden="1">
      <c r="B36" s="1">
        <f>FINAL!A35</f>
        <v>27</v>
      </c>
      <c r="C36" s="2">
        <f>FINAL!B35</f>
        <v>0</v>
      </c>
      <c r="D36" s="89" t="e">
        <f>FINAL!C35</f>
        <v>#DIV/0!</v>
      </c>
      <c r="E36" s="90" t="s">
        <v>47</v>
      </c>
      <c r="F36" s="92" t="e">
        <f t="shared" si="0"/>
        <v>#DIV/0!</v>
      </c>
    </row>
    <row r="37" spans="2:6" ht="15.75" hidden="1">
      <c r="B37" s="1">
        <f>FINAL!A36</f>
        <v>28</v>
      </c>
      <c r="C37" s="2">
        <f>FINAL!B36</f>
        <v>0</v>
      </c>
      <c r="D37" s="89" t="e">
        <f>FINAL!C36</f>
        <v>#DIV/0!</v>
      </c>
      <c r="E37" s="90" t="s">
        <v>47</v>
      </c>
      <c r="F37" s="92" t="e">
        <f t="shared" si="0"/>
        <v>#DIV/0!</v>
      </c>
    </row>
    <row r="38" spans="2:6" ht="15.75" hidden="1">
      <c r="B38" s="1">
        <f>FINAL!A37</f>
        <v>29</v>
      </c>
      <c r="C38" s="2">
        <f>FINAL!B37</f>
        <v>0</v>
      </c>
      <c r="D38" s="89" t="e">
        <f>FINAL!C37</f>
        <v>#DIV/0!</v>
      </c>
      <c r="E38" s="90" t="s">
        <v>47</v>
      </c>
      <c r="F38" s="92" t="e">
        <f t="shared" si="0"/>
        <v>#DIV/0!</v>
      </c>
    </row>
    <row r="39" spans="2:6" ht="15.75" hidden="1">
      <c r="B39" s="1">
        <f>FINAL!A38</f>
        <v>30</v>
      </c>
      <c r="C39" s="2">
        <f>FINAL!B38</f>
        <v>0</v>
      </c>
      <c r="D39" s="89" t="e">
        <f>FINAL!C38</f>
        <v>#DIV/0!</v>
      </c>
      <c r="E39" s="90" t="s">
        <v>47</v>
      </c>
      <c r="F39" s="92" t="e">
        <f t="shared" si="0"/>
        <v>#DIV/0!</v>
      </c>
    </row>
    <row r="40" spans="2:6" ht="15.75" hidden="1">
      <c r="B40" s="1">
        <f>FINAL!A39</f>
        <v>31</v>
      </c>
      <c r="C40" s="2">
        <f>FINAL!B39</f>
        <v>0</v>
      </c>
      <c r="D40" s="89" t="e">
        <f>FINAL!C39</f>
        <v>#DIV/0!</v>
      </c>
      <c r="E40" s="90" t="s">
        <v>47</v>
      </c>
      <c r="F40" s="92" t="e">
        <f t="shared" si="0"/>
        <v>#DIV/0!</v>
      </c>
    </row>
    <row r="41" spans="2:6" ht="15.75" hidden="1">
      <c r="B41" s="1">
        <f>FINAL!A40</f>
        <v>32</v>
      </c>
      <c r="C41" s="2">
        <f>FINAL!B40</f>
        <v>0</v>
      </c>
      <c r="D41" s="89" t="e">
        <f>FINAL!C40</f>
        <v>#DIV/0!</v>
      </c>
      <c r="E41" s="90" t="s">
        <v>47</v>
      </c>
      <c r="F41" s="92" t="e">
        <f t="shared" si="0"/>
        <v>#DIV/0!</v>
      </c>
    </row>
    <row r="42" spans="2:6" ht="15.75" hidden="1">
      <c r="B42" s="1">
        <f>FINAL!A41</f>
        <v>33</v>
      </c>
      <c r="C42" s="2">
        <f>FINAL!B41</f>
        <v>0</v>
      </c>
      <c r="D42" s="89" t="e">
        <f>FINAL!C41</f>
        <v>#DIV/0!</v>
      </c>
      <c r="E42" s="90" t="s">
        <v>47</v>
      </c>
      <c r="F42" s="92" t="e">
        <f t="shared" ref="F42:F73" si="1">IF(D42&lt;2.95,"BAJO",IF(D42&lt;4,"BASICO",IF(D42&lt;4.5,"ALTO","SUPERIOR")))</f>
        <v>#DIV/0!</v>
      </c>
    </row>
    <row r="43" spans="2:6" ht="15.75" hidden="1">
      <c r="B43" s="1">
        <f>FINAL!A42</f>
        <v>34</v>
      </c>
      <c r="C43" s="2">
        <f>FINAL!B42</f>
        <v>0</v>
      </c>
      <c r="D43" s="89" t="e">
        <f>FINAL!C42</f>
        <v>#DIV/0!</v>
      </c>
      <c r="E43" s="90" t="s">
        <v>47</v>
      </c>
      <c r="F43" s="92" t="e">
        <f t="shared" si="1"/>
        <v>#DIV/0!</v>
      </c>
    </row>
    <row r="44" spans="2:6" ht="15.75" hidden="1">
      <c r="B44" s="1">
        <f>FINAL!A43</f>
        <v>35</v>
      </c>
      <c r="C44" s="2">
        <f>FINAL!B43</f>
        <v>0</v>
      </c>
      <c r="D44" s="89" t="e">
        <f>FINAL!C43</f>
        <v>#DIV/0!</v>
      </c>
      <c r="E44" s="90" t="s">
        <v>47</v>
      </c>
      <c r="F44" s="92" t="e">
        <f t="shared" si="1"/>
        <v>#DIV/0!</v>
      </c>
    </row>
    <row r="45" spans="2:6" ht="15.75" hidden="1">
      <c r="B45" s="1">
        <f>FINAL!A44</f>
        <v>36</v>
      </c>
      <c r="C45" s="2">
        <f>FINAL!B44</f>
        <v>0</v>
      </c>
      <c r="D45" s="89" t="e">
        <f>FINAL!C44</f>
        <v>#DIV/0!</v>
      </c>
      <c r="E45" s="90" t="s">
        <v>47</v>
      </c>
      <c r="F45" s="92" t="e">
        <f t="shared" si="1"/>
        <v>#DIV/0!</v>
      </c>
    </row>
    <row r="46" spans="2:6" ht="15.75" hidden="1">
      <c r="B46" s="1">
        <f>FINAL!A45</f>
        <v>37</v>
      </c>
      <c r="C46" s="2">
        <f>FINAL!B45</f>
        <v>0</v>
      </c>
      <c r="D46" s="89" t="e">
        <f>FINAL!C45</f>
        <v>#DIV/0!</v>
      </c>
      <c r="E46" s="90" t="s">
        <v>47</v>
      </c>
      <c r="F46" s="92" t="e">
        <f t="shared" si="1"/>
        <v>#DIV/0!</v>
      </c>
    </row>
    <row r="47" spans="2:6" ht="15.75" hidden="1">
      <c r="B47" s="1">
        <f>FINAL!A46</f>
        <v>38</v>
      </c>
      <c r="C47" s="2">
        <f>FINAL!B46</f>
        <v>0</v>
      </c>
      <c r="D47" s="89" t="e">
        <f>FINAL!C46</f>
        <v>#DIV/0!</v>
      </c>
      <c r="E47" s="90" t="s">
        <v>47</v>
      </c>
      <c r="F47" s="92" t="e">
        <f t="shared" si="1"/>
        <v>#DIV/0!</v>
      </c>
    </row>
    <row r="48" spans="2:6" ht="15.75" hidden="1">
      <c r="B48" s="1">
        <f>FINAL!A47</f>
        <v>39</v>
      </c>
      <c r="C48" s="2">
        <f>FINAL!B47</f>
        <v>0</v>
      </c>
      <c r="D48" s="89" t="e">
        <f>FINAL!C47</f>
        <v>#DIV/0!</v>
      </c>
      <c r="E48" s="90" t="s">
        <v>47</v>
      </c>
      <c r="F48" s="92" t="e">
        <f t="shared" si="1"/>
        <v>#DIV/0!</v>
      </c>
    </row>
    <row r="49" spans="2:6" ht="15.75" hidden="1">
      <c r="B49" s="1">
        <f>FINAL!A48</f>
        <v>40</v>
      </c>
      <c r="C49" s="2">
        <f>FINAL!B48</f>
        <v>0</v>
      </c>
      <c r="D49" s="89" t="e">
        <f>FINAL!C48</f>
        <v>#DIV/0!</v>
      </c>
      <c r="E49" s="90" t="s">
        <v>47</v>
      </c>
      <c r="F49" s="92" t="e">
        <f t="shared" si="1"/>
        <v>#DIV/0!</v>
      </c>
    </row>
    <row r="50" spans="2:6" ht="15.75" hidden="1">
      <c r="B50" s="77">
        <f t="shared" ref="B50:C69" si="2">B10</f>
        <v>1</v>
      </c>
      <c r="C50" s="78">
        <f t="shared" si="2"/>
        <v>0</v>
      </c>
      <c r="D50" s="89" t="e">
        <f>FINAL!D9</f>
        <v>#DIV/0!</v>
      </c>
      <c r="E50" s="90" t="s">
        <v>60</v>
      </c>
      <c r="F50" s="92" t="e">
        <f t="shared" si="1"/>
        <v>#DIV/0!</v>
      </c>
    </row>
    <row r="51" spans="2:6" ht="15.75" hidden="1">
      <c r="B51" s="1">
        <f t="shared" si="2"/>
        <v>2</v>
      </c>
      <c r="C51" s="2">
        <f t="shared" si="2"/>
        <v>0</v>
      </c>
      <c r="D51" s="89" t="e">
        <f>FINAL!D10</f>
        <v>#DIV/0!</v>
      </c>
      <c r="E51" s="90" t="s">
        <v>60</v>
      </c>
      <c r="F51" s="92" t="e">
        <f t="shared" si="1"/>
        <v>#DIV/0!</v>
      </c>
    </row>
    <row r="52" spans="2:6" ht="15.75" hidden="1">
      <c r="B52" s="1">
        <f t="shared" si="2"/>
        <v>3</v>
      </c>
      <c r="C52" s="2">
        <f t="shared" si="2"/>
        <v>0</v>
      </c>
      <c r="D52" s="89" t="e">
        <f>FINAL!D11</f>
        <v>#DIV/0!</v>
      </c>
      <c r="E52" s="90" t="s">
        <v>60</v>
      </c>
      <c r="F52" s="92" t="e">
        <f t="shared" si="1"/>
        <v>#DIV/0!</v>
      </c>
    </row>
    <row r="53" spans="2:6" ht="15.75" hidden="1">
      <c r="B53" s="1">
        <f t="shared" si="2"/>
        <v>4</v>
      </c>
      <c r="C53" s="2">
        <f t="shared" si="2"/>
        <v>0</v>
      </c>
      <c r="D53" s="89" t="e">
        <f>FINAL!D12</f>
        <v>#DIV/0!</v>
      </c>
      <c r="E53" s="90" t="s">
        <v>60</v>
      </c>
      <c r="F53" s="92" t="e">
        <f t="shared" si="1"/>
        <v>#DIV/0!</v>
      </c>
    </row>
    <row r="54" spans="2:6" ht="15.75" hidden="1">
      <c r="B54" s="1">
        <f t="shared" si="2"/>
        <v>5</v>
      </c>
      <c r="C54" s="2">
        <f t="shared" si="2"/>
        <v>0</v>
      </c>
      <c r="D54" s="89" t="e">
        <f>FINAL!D13</f>
        <v>#DIV/0!</v>
      </c>
      <c r="E54" s="90" t="s">
        <v>60</v>
      </c>
      <c r="F54" s="92" t="e">
        <f t="shared" si="1"/>
        <v>#DIV/0!</v>
      </c>
    </row>
    <row r="55" spans="2:6" ht="15.75" hidden="1">
      <c r="B55" s="1">
        <f t="shared" si="2"/>
        <v>6</v>
      </c>
      <c r="C55" s="2">
        <f t="shared" si="2"/>
        <v>0</v>
      </c>
      <c r="D55" s="89" t="e">
        <f>FINAL!D14</f>
        <v>#DIV/0!</v>
      </c>
      <c r="E55" s="90" t="s">
        <v>60</v>
      </c>
      <c r="F55" s="92" t="e">
        <f t="shared" si="1"/>
        <v>#DIV/0!</v>
      </c>
    </row>
    <row r="56" spans="2:6" ht="15.75" hidden="1">
      <c r="B56" s="1">
        <f t="shared" si="2"/>
        <v>7</v>
      </c>
      <c r="C56" s="2">
        <f t="shared" si="2"/>
        <v>0</v>
      </c>
      <c r="D56" s="89" t="e">
        <f>FINAL!D15</f>
        <v>#DIV/0!</v>
      </c>
      <c r="E56" s="90" t="s">
        <v>60</v>
      </c>
      <c r="F56" s="92" t="e">
        <f t="shared" si="1"/>
        <v>#DIV/0!</v>
      </c>
    </row>
    <row r="57" spans="2:6" ht="15.75" hidden="1">
      <c r="B57" s="1">
        <f t="shared" si="2"/>
        <v>8</v>
      </c>
      <c r="C57" s="2">
        <f t="shared" si="2"/>
        <v>0</v>
      </c>
      <c r="D57" s="89" t="e">
        <f>FINAL!D16</f>
        <v>#DIV/0!</v>
      </c>
      <c r="E57" s="90" t="s">
        <v>60</v>
      </c>
      <c r="F57" s="92" t="e">
        <f t="shared" si="1"/>
        <v>#DIV/0!</v>
      </c>
    </row>
    <row r="58" spans="2:6" ht="15.75" hidden="1">
      <c r="B58" s="1">
        <f t="shared" si="2"/>
        <v>9</v>
      </c>
      <c r="C58" s="2">
        <f t="shared" si="2"/>
        <v>0</v>
      </c>
      <c r="D58" s="89" t="e">
        <f>FINAL!D17</f>
        <v>#DIV/0!</v>
      </c>
      <c r="E58" s="90" t="s">
        <v>60</v>
      </c>
      <c r="F58" s="92" t="e">
        <f t="shared" si="1"/>
        <v>#DIV/0!</v>
      </c>
    </row>
    <row r="59" spans="2:6" ht="15.75" hidden="1">
      <c r="B59" s="1">
        <f t="shared" si="2"/>
        <v>10</v>
      </c>
      <c r="C59" s="2">
        <f t="shared" si="2"/>
        <v>0</v>
      </c>
      <c r="D59" s="89" t="e">
        <f>FINAL!D18</f>
        <v>#DIV/0!</v>
      </c>
      <c r="E59" s="90" t="s">
        <v>60</v>
      </c>
      <c r="F59" s="92" t="e">
        <f t="shared" si="1"/>
        <v>#DIV/0!</v>
      </c>
    </row>
    <row r="60" spans="2:6" ht="15.75" hidden="1">
      <c r="B60" s="1">
        <f t="shared" si="2"/>
        <v>11</v>
      </c>
      <c r="C60" s="2">
        <f t="shared" si="2"/>
        <v>0</v>
      </c>
      <c r="D60" s="89" t="e">
        <f>FINAL!D19</f>
        <v>#DIV/0!</v>
      </c>
      <c r="E60" s="90" t="s">
        <v>60</v>
      </c>
      <c r="F60" s="92" t="e">
        <f t="shared" si="1"/>
        <v>#DIV/0!</v>
      </c>
    </row>
    <row r="61" spans="2:6" ht="15.75" hidden="1">
      <c r="B61" s="1">
        <f t="shared" si="2"/>
        <v>12</v>
      </c>
      <c r="C61" s="2">
        <f t="shared" si="2"/>
        <v>0</v>
      </c>
      <c r="D61" s="89" t="e">
        <f>FINAL!D20</f>
        <v>#DIV/0!</v>
      </c>
      <c r="E61" s="90" t="s">
        <v>60</v>
      </c>
      <c r="F61" s="92" t="e">
        <f t="shared" si="1"/>
        <v>#DIV/0!</v>
      </c>
    </row>
    <row r="62" spans="2:6" ht="15.75" hidden="1">
      <c r="B62" s="1">
        <f t="shared" si="2"/>
        <v>13</v>
      </c>
      <c r="C62" s="2">
        <f t="shared" si="2"/>
        <v>0</v>
      </c>
      <c r="D62" s="89" t="e">
        <f>FINAL!D21</f>
        <v>#DIV/0!</v>
      </c>
      <c r="E62" s="90" t="s">
        <v>60</v>
      </c>
      <c r="F62" s="92" t="e">
        <f t="shared" si="1"/>
        <v>#DIV/0!</v>
      </c>
    </row>
    <row r="63" spans="2:6" ht="15.75" hidden="1">
      <c r="B63" s="1">
        <f t="shared" si="2"/>
        <v>14</v>
      </c>
      <c r="C63" s="2">
        <f t="shared" si="2"/>
        <v>0</v>
      </c>
      <c r="D63" s="89" t="e">
        <f>FINAL!D22</f>
        <v>#DIV/0!</v>
      </c>
      <c r="E63" s="90" t="s">
        <v>60</v>
      </c>
      <c r="F63" s="92" t="e">
        <f t="shared" si="1"/>
        <v>#DIV/0!</v>
      </c>
    </row>
    <row r="64" spans="2:6" ht="15.75" hidden="1">
      <c r="B64" s="1">
        <f t="shared" si="2"/>
        <v>15</v>
      </c>
      <c r="C64" s="2">
        <f t="shared" si="2"/>
        <v>0</v>
      </c>
      <c r="D64" s="89" t="e">
        <f>FINAL!D23</f>
        <v>#DIV/0!</v>
      </c>
      <c r="E64" s="90" t="s">
        <v>60</v>
      </c>
      <c r="F64" s="92" t="e">
        <f t="shared" si="1"/>
        <v>#DIV/0!</v>
      </c>
    </row>
    <row r="65" spans="2:6" ht="15.75" hidden="1">
      <c r="B65" s="1">
        <f t="shared" si="2"/>
        <v>16</v>
      </c>
      <c r="C65" s="2">
        <f t="shared" si="2"/>
        <v>0</v>
      </c>
      <c r="D65" s="89" t="e">
        <f>FINAL!D24</f>
        <v>#DIV/0!</v>
      </c>
      <c r="E65" s="90" t="s">
        <v>60</v>
      </c>
      <c r="F65" s="92" t="e">
        <f t="shared" si="1"/>
        <v>#DIV/0!</v>
      </c>
    </row>
    <row r="66" spans="2:6" ht="15.75" hidden="1">
      <c r="B66" s="1">
        <f t="shared" si="2"/>
        <v>17</v>
      </c>
      <c r="C66" s="2">
        <f t="shared" si="2"/>
        <v>0</v>
      </c>
      <c r="D66" s="89" t="e">
        <f>FINAL!D25</f>
        <v>#DIV/0!</v>
      </c>
      <c r="E66" s="90" t="s">
        <v>60</v>
      </c>
      <c r="F66" s="92" t="e">
        <f t="shared" si="1"/>
        <v>#DIV/0!</v>
      </c>
    </row>
    <row r="67" spans="2:6" ht="15.75" hidden="1">
      <c r="B67" s="1">
        <f t="shared" si="2"/>
        <v>18</v>
      </c>
      <c r="C67" s="2">
        <f t="shared" si="2"/>
        <v>0</v>
      </c>
      <c r="D67" s="89" t="e">
        <f>FINAL!D26</f>
        <v>#DIV/0!</v>
      </c>
      <c r="E67" s="90" t="s">
        <v>60</v>
      </c>
      <c r="F67" s="92" t="e">
        <f t="shared" si="1"/>
        <v>#DIV/0!</v>
      </c>
    </row>
    <row r="68" spans="2:6" ht="15.75" hidden="1">
      <c r="B68" s="1">
        <f t="shared" si="2"/>
        <v>19</v>
      </c>
      <c r="C68" s="2">
        <f t="shared" si="2"/>
        <v>0</v>
      </c>
      <c r="D68" s="89" t="e">
        <f>FINAL!D27</f>
        <v>#DIV/0!</v>
      </c>
      <c r="E68" s="90" t="s">
        <v>60</v>
      </c>
      <c r="F68" s="92" t="e">
        <f t="shared" si="1"/>
        <v>#DIV/0!</v>
      </c>
    </row>
    <row r="69" spans="2:6" ht="15.75" hidden="1">
      <c r="B69" s="1">
        <f t="shared" si="2"/>
        <v>20</v>
      </c>
      <c r="C69" s="2">
        <f t="shared" si="2"/>
        <v>0</v>
      </c>
      <c r="D69" s="89" t="e">
        <f>FINAL!D28</f>
        <v>#DIV/0!</v>
      </c>
      <c r="E69" s="90" t="s">
        <v>60</v>
      </c>
      <c r="F69" s="92" t="e">
        <f t="shared" si="1"/>
        <v>#DIV/0!</v>
      </c>
    </row>
    <row r="70" spans="2:6" ht="15.75" hidden="1">
      <c r="B70" s="1">
        <f t="shared" ref="B70:C89" si="3">B30</f>
        <v>21</v>
      </c>
      <c r="C70" s="2">
        <f t="shared" si="3"/>
        <v>0</v>
      </c>
      <c r="D70" s="89" t="e">
        <f>FINAL!D29</f>
        <v>#DIV/0!</v>
      </c>
      <c r="E70" s="90" t="s">
        <v>60</v>
      </c>
      <c r="F70" s="92" t="e">
        <f t="shared" si="1"/>
        <v>#DIV/0!</v>
      </c>
    </row>
    <row r="71" spans="2:6" ht="15.75" hidden="1">
      <c r="B71" s="1">
        <f t="shared" si="3"/>
        <v>22</v>
      </c>
      <c r="C71" s="2">
        <f t="shared" si="3"/>
        <v>0</v>
      </c>
      <c r="D71" s="89" t="e">
        <f>FINAL!D30</f>
        <v>#DIV/0!</v>
      </c>
      <c r="E71" s="90" t="s">
        <v>60</v>
      </c>
      <c r="F71" s="92" t="e">
        <f t="shared" si="1"/>
        <v>#DIV/0!</v>
      </c>
    </row>
    <row r="72" spans="2:6" ht="15.75" hidden="1">
      <c r="B72" s="1">
        <f t="shared" si="3"/>
        <v>23</v>
      </c>
      <c r="C72" s="2">
        <f t="shared" si="3"/>
        <v>0</v>
      </c>
      <c r="D72" s="89" t="e">
        <f>FINAL!D31</f>
        <v>#DIV/0!</v>
      </c>
      <c r="E72" s="90" t="s">
        <v>60</v>
      </c>
      <c r="F72" s="92" t="e">
        <f t="shared" si="1"/>
        <v>#DIV/0!</v>
      </c>
    </row>
    <row r="73" spans="2:6" ht="15.75" hidden="1">
      <c r="B73" s="1">
        <f t="shared" si="3"/>
        <v>24</v>
      </c>
      <c r="C73" s="2">
        <f t="shared" si="3"/>
        <v>0</v>
      </c>
      <c r="D73" s="89" t="e">
        <f>FINAL!D32</f>
        <v>#DIV/0!</v>
      </c>
      <c r="E73" s="90" t="s">
        <v>60</v>
      </c>
      <c r="F73" s="92" t="e">
        <f t="shared" si="1"/>
        <v>#DIV/0!</v>
      </c>
    </row>
    <row r="74" spans="2:6" ht="15.75" hidden="1">
      <c r="B74" s="1">
        <f t="shared" si="3"/>
        <v>25</v>
      </c>
      <c r="C74" s="2">
        <f t="shared" si="3"/>
        <v>0</v>
      </c>
      <c r="D74" s="89" t="e">
        <f>FINAL!D33</f>
        <v>#DIV/0!</v>
      </c>
      <c r="E74" s="90" t="s">
        <v>60</v>
      </c>
      <c r="F74" s="92" t="e">
        <f t="shared" ref="F74:F105" si="4">IF(D74&lt;2.95,"BAJO",IF(D74&lt;4,"BASICO",IF(D74&lt;4.5,"ALTO","SUPERIOR")))</f>
        <v>#DIV/0!</v>
      </c>
    </row>
    <row r="75" spans="2:6" ht="15.75" hidden="1">
      <c r="B75" s="1">
        <f t="shared" si="3"/>
        <v>26</v>
      </c>
      <c r="C75" s="2">
        <f t="shared" si="3"/>
        <v>0</v>
      </c>
      <c r="D75" s="89" t="e">
        <f>FINAL!D34</f>
        <v>#DIV/0!</v>
      </c>
      <c r="E75" s="90" t="s">
        <v>60</v>
      </c>
      <c r="F75" s="92" t="e">
        <f t="shared" si="4"/>
        <v>#DIV/0!</v>
      </c>
    </row>
    <row r="76" spans="2:6" ht="15.75" hidden="1">
      <c r="B76" s="1">
        <f t="shared" si="3"/>
        <v>27</v>
      </c>
      <c r="C76" s="2">
        <f t="shared" si="3"/>
        <v>0</v>
      </c>
      <c r="D76" s="89" t="e">
        <f>FINAL!D35</f>
        <v>#DIV/0!</v>
      </c>
      <c r="E76" s="90" t="s">
        <v>60</v>
      </c>
      <c r="F76" s="92" t="e">
        <f t="shared" si="4"/>
        <v>#DIV/0!</v>
      </c>
    </row>
    <row r="77" spans="2:6" ht="15.75" hidden="1">
      <c r="B77" s="1">
        <f t="shared" si="3"/>
        <v>28</v>
      </c>
      <c r="C77" s="2">
        <f t="shared" si="3"/>
        <v>0</v>
      </c>
      <c r="D77" s="89" t="e">
        <f>FINAL!D36</f>
        <v>#DIV/0!</v>
      </c>
      <c r="E77" s="90" t="s">
        <v>60</v>
      </c>
      <c r="F77" s="92" t="e">
        <f t="shared" si="4"/>
        <v>#DIV/0!</v>
      </c>
    </row>
    <row r="78" spans="2:6" ht="15.75" hidden="1">
      <c r="B78" s="1">
        <f t="shared" si="3"/>
        <v>29</v>
      </c>
      <c r="C78" s="2">
        <f t="shared" si="3"/>
        <v>0</v>
      </c>
      <c r="D78" s="89" t="e">
        <f>FINAL!D37</f>
        <v>#DIV/0!</v>
      </c>
      <c r="E78" s="90" t="s">
        <v>60</v>
      </c>
      <c r="F78" s="92" t="e">
        <f t="shared" si="4"/>
        <v>#DIV/0!</v>
      </c>
    </row>
    <row r="79" spans="2:6" ht="15.75" hidden="1">
      <c r="B79" s="1">
        <f t="shared" si="3"/>
        <v>30</v>
      </c>
      <c r="C79" s="2">
        <f t="shared" si="3"/>
        <v>0</v>
      </c>
      <c r="D79" s="89" t="e">
        <f>FINAL!D38</f>
        <v>#DIV/0!</v>
      </c>
      <c r="E79" s="90" t="s">
        <v>60</v>
      </c>
      <c r="F79" s="92" t="e">
        <f t="shared" si="4"/>
        <v>#DIV/0!</v>
      </c>
    </row>
    <row r="80" spans="2:6" ht="15.75" hidden="1">
      <c r="B80" s="1">
        <f t="shared" si="3"/>
        <v>31</v>
      </c>
      <c r="C80" s="2">
        <f t="shared" si="3"/>
        <v>0</v>
      </c>
      <c r="D80" s="89" t="e">
        <f>FINAL!D39</f>
        <v>#DIV/0!</v>
      </c>
      <c r="E80" s="90" t="s">
        <v>60</v>
      </c>
      <c r="F80" s="92" t="e">
        <f t="shared" si="4"/>
        <v>#DIV/0!</v>
      </c>
    </row>
    <row r="81" spans="2:6" ht="15.75" hidden="1">
      <c r="B81" s="1">
        <f t="shared" si="3"/>
        <v>32</v>
      </c>
      <c r="C81" s="2">
        <f t="shared" si="3"/>
        <v>0</v>
      </c>
      <c r="D81" s="89" t="e">
        <f>FINAL!D40</f>
        <v>#DIV/0!</v>
      </c>
      <c r="E81" s="90" t="s">
        <v>60</v>
      </c>
      <c r="F81" s="92" t="e">
        <f t="shared" si="4"/>
        <v>#DIV/0!</v>
      </c>
    </row>
    <row r="82" spans="2:6" ht="15.75" hidden="1">
      <c r="B82" s="1">
        <f t="shared" si="3"/>
        <v>33</v>
      </c>
      <c r="C82" s="2">
        <f t="shared" si="3"/>
        <v>0</v>
      </c>
      <c r="D82" s="89" t="e">
        <f>FINAL!D41</f>
        <v>#DIV/0!</v>
      </c>
      <c r="E82" s="90" t="s">
        <v>60</v>
      </c>
      <c r="F82" s="92" t="e">
        <f t="shared" si="4"/>
        <v>#DIV/0!</v>
      </c>
    </row>
    <row r="83" spans="2:6" ht="15.75" hidden="1">
      <c r="B83" s="1">
        <f t="shared" si="3"/>
        <v>34</v>
      </c>
      <c r="C83" s="2">
        <f t="shared" si="3"/>
        <v>0</v>
      </c>
      <c r="D83" s="89" t="e">
        <f>FINAL!D42</f>
        <v>#DIV/0!</v>
      </c>
      <c r="E83" s="90" t="s">
        <v>60</v>
      </c>
      <c r="F83" s="92" t="e">
        <f t="shared" si="4"/>
        <v>#DIV/0!</v>
      </c>
    </row>
    <row r="84" spans="2:6" ht="15.75" hidden="1">
      <c r="B84" s="1">
        <f t="shared" si="3"/>
        <v>35</v>
      </c>
      <c r="C84" s="2">
        <f t="shared" si="3"/>
        <v>0</v>
      </c>
      <c r="D84" s="89" t="e">
        <f>FINAL!D43</f>
        <v>#DIV/0!</v>
      </c>
      <c r="E84" s="90" t="s">
        <v>60</v>
      </c>
      <c r="F84" s="92" t="e">
        <f t="shared" si="4"/>
        <v>#DIV/0!</v>
      </c>
    </row>
    <row r="85" spans="2:6" ht="15.75" hidden="1">
      <c r="B85" s="1">
        <f t="shared" si="3"/>
        <v>36</v>
      </c>
      <c r="C85" s="2">
        <f t="shared" si="3"/>
        <v>0</v>
      </c>
      <c r="D85" s="89" t="e">
        <f>FINAL!D44</f>
        <v>#DIV/0!</v>
      </c>
      <c r="E85" s="90" t="s">
        <v>60</v>
      </c>
      <c r="F85" s="92" t="e">
        <f t="shared" si="4"/>
        <v>#DIV/0!</v>
      </c>
    </row>
    <row r="86" spans="2:6" ht="15.75" hidden="1">
      <c r="B86" s="1">
        <f t="shared" si="3"/>
        <v>37</v>
      </c>
      <c r="C86" s="2">
        <f t="shared" si="3"/>
        <v>0</v>
      </c>
      <c r="D86" s="89" t="e">
        <f>FINAL!D45</f>
        <v>#DIV/0!</v>
      </c>
      <c r="E86" s="90" t="s">
        <v>60</v>
      </c>
      <c r="F86" s="92" t="e">
        <f t="shared" si="4"/>
        <v>#DIV/0!</v>
      </c>
    </row>
    <row r="87" spans="2:6" ht="15.75" hidden="1">
      <c r="B87" s="1">
        <f t="shared" si="3"/>
        <v>38</v>
      </c>
      <c r="C87" s="2">
        <f t="shared" si="3"/>
        <v>0</v>
      </c>
      <c r="D87" s="89" t="e">
        <f>FINAL!D46</f>
        <v>#DIV/0!</v>
      </c>
      <c r="E87" s="90" t="s">
        <v>60</v>
      </c>
      <c r="F87" s="92" t="e">
        <f t="shared" si="4"/>
        <v>#DIV/0!</v>
      </c>
    </row>
    <row r="88" spans="2:6" ht="15.75" hidden="1">
      <c r="B88" s="1">
        <f t="shared" si="3"/>
        <v>39</v>
      </c>
      <c r="C88" s="2">
        <f t="shared" si="3"/>
        <v>0</v>
      </c>
      <c r="D88" s="89" t="e">
        <f>FINAL!D47</f>
        <v>#DIV/0!</v>
      </c>
      <c r="E88" s="90" t="s">
        <v>60</v>
      </c>
      <c r="F88" s="92" t="e">
        <f t="shared" si="4"/>
        <v>#DIV/0!</v>
      </c>
    </row>
    <row r="89" spans="2:6" ht="15.75" hidden="1">
      <c r="B89" s="1">
        <f t="shared" si="3"/>
        <v>40</v>
      </c>
      <c r="C89" s="2">
        <f t="shared" si="3"/>
        <v>0</v>
      </c>
      <c r="D89" s="89" t="e">
        <f>FINAL!D48</f>
        <v>#DIV/0!</v>
      </c>
      <c r="E89" s="90" t="s">
        <v>60</v>
      </c>
      <c r="F89" s="92" t="e">
        <f t="shared" si="4"/>
        <v>#DIV/0!</v>
      </c>
    </row>
    <row r="90" spans="2:6" ht="15.75" hidden="1">
      <c r="B90" s="77">
        <f t="shared" ref="B90:C109" si="5">B10</f>
        <v>1</v>
      </c>
      <c r="C90" s="78">
        <f t="shared" si="5"/>
        <v>0</v>
      </c>
      <c r="D90" s="89" t="e">
        <f>FINAL!E9</f>
        <v>#DIV/0!</v>
      </c>
      <c r="E90" s="90" t="s">
        <v>61</v>
      </c>
      <c r="F90" s="92" t="e">
        <f t="shared" si="4"/>
        <v>#DIV/0!</v>
      </c>
    </row>
    <row r="91" spans="2:6" ht="15.75" hidden="1">
      <c r="B91" s="1">
        <f t="shared" si="5"/>
        <v>2</v>
      </c>
      <c r="C91" s="2">
        <f t="shared" si="5"/>
        <v>0</v>
      </c>
      <c r="D91" s="89" t="e">
        <f>FINAL!E10</f>
        <v>#DIV/0!</v>
      </c>
      <c r="E91" s="90" t="s">
        <v>61</v>
      </c>
      <c r="F91" s="92" t="e">
        <f t="shared" si="4"/>
        <v>#DIV/0!</v>
      </c>
    </row>
    <row r="92" spans="2:6" ht="15.75" hidden="1">
      <c r="B92" s="1">
        <f t="shared" si="5"/>
        <v>3</v>
      </c>
      <c r="C92" s="2">
        <f t="shared" si="5"/>
        <v>0</v>
      </c>
      <c r="D92" s="89" t="e">
        <f>FINAL!E11</f>
        <v>#DIV/0!</v>
      </c>
      <c r="E92" s="90" t="s">
        <v>61</v>
      </c>
      <c r="F92" s="92" t="e">
        <f t="shared" si="4"/>
        <v>#DIV/0!</v>
      </c>
    </row>
    <row r="93" spans="2:6" ht="15.75" hidden="1">
      <c r="B93" s="1">
        <f t="shared" si="5"/>
        <v>4</v>
      </c>
      <c r="C93" s="2">
        <f t="shared" si="5"/>
        <v>0</v>
      </c>
      <c r="D93" s="89" t="e">
        <f>FINAL!E12</f>
        <v>#DIV/0!</v>
      </c>
      <c r="E93" s="90" t="s">
        <v>61</v>
      </c>
      <c r="F93" s="92" t="e">
        <f t="shared" si="4"/>
        <v>#DIV/0!</v>
      </c>
    </row>
    <row r="94" spans="2:6" ht="15.75" hidden="1">
      <c r="B94" s="1">
        <f t="shared" si="5"/>
        <v>5</v>
      </c>
      <c r="C94" s="2">
        <f t="shared" si="5"/>
        <v>0</v>
      </c>
      <c r="D94" s="89" t="e">
        <f>FINAL!E13</f>
        <v>#DIV/0!</v>
      </c>
      <c r="E94" s="90" t="s">
        <v>61</v>
      </c>
      <c r="F94" s="92" t="e">
        <f t="shared" si="4"/>
        <v>#DIV/0!</v>
      </c>
    </row>
    <row r="95" spans="2:6" ht="15.75" hidden="1">
      <c r="B95" s="1">
        <f t="shared" si="5"/>
        <v>6</v>
      </c>
      <c r="C95" s="2">
        <f t="shared" si="5"/>
        <v>0</v>
      </c>
      <c r="D95" s="89" t="e">
        <f>FINAL!E14</f>
        <v>#DIV/0!</v>
      </c>
      <c r="E95" s="90" t="s">
        <v>61</v>
      </c>
      <c r="F95" s="92" t="e">
        <f t="shared" si="4"/>
        <v>#DIV/0!</v>
      </c>
    </row>
    <row r="96" spans="2:6" ht="15.75" hidden="1">
      <c r="B96" s="1">
        <f t="shared" si="5"/>
        <v>7</v>
      </c>
      <c r="C96" s="2">
        <f t="shared" si="5"/>
        <v>0</v>
      </c>
      <c r="D96" s="89" t="e">
        <f>FINAL!E15</f>
        <v>#DIV/0!</v>
      </c>
      <c r="E96" s="90" t="s">
        <v>61</v>
      </c>
      <c r="F96" s="92" t="e">
        <f t="shared" si="4"/>
        <v>#DIV/0!</v>
      </c>
    </row>
    <row r="97" spans="2:6" ht="15.75" hidden="1">
      <c r="B97" s="1">
        <f t="shared" si="5"/>
        <v>8</v>
      </c>
      <c r="C97" s="2">
        <f t="shared" si="5"/>
        <v>0</v>
      </c>
      <c r="D97" s="89" t="e">
        <f>FINAL!E16</f>
        <v>#DIV/0!</v>
      </c>
      <c r="E97" s="90" t="s">
        <v>61</v>
      </c>
      <c r="F97" s="92" t="e">
        <f t="shared" si="4"/>
        <v>#DIV/0!</v>
      </c>
    </row>
    <row r="98" spans="2:6" ht="15.75" hidden="1">
      <c r="B98" s="1">
        <f t="shared" si="5"/>
        <v>9</v>
      </c>
      <c r="C98" s="2">
        <f t="shared" si="5"/>
        <v>0</v>
      </c>
      <c r="D98" s="89" t="e">
        <f>FINAL!E17</f>
        <v>#DIV/0!</v>
      </c>
      <c r="E98" s="90" t="s">
        <v>61</v>
      </c>
      <c r="F98" s="92" t="e">
        <f t="shared" si="4"/>
        <v>#DIV/0!</v>
      </c>
    </row>
    <row r="99" spans="2:6" ht="15.75" hidden="1">
      <c r="B99" s="1">
        <f t="shared" si="5"/>
        <v>10</v>
      </c>
      <c r="C99" s="2">
        <f t="shared" si="5"/>
        <v>0</v>
      </c>
      <c r="D99" s="89" t="e">
        <f>FINAL!E18</f>
        <v>#DIV/0!</v>
      </c>
      <c r="E99" s="90" t="s">
        <v>61</v>
      </c>
      <c r="F99" s="92" t="e">
        <f t="shared" si="4"/>
        <v>#DIV/0!</v>
      </c>
    </row>
    <row r="100" spans="2:6" ht="15.75" hidden="1">
      <c r="B100" s="1">
        <f t="shared" si="5"/>
        <v>11</v>
      </c>
      <c r="C100" s="2">
        <f t="shared" si="5"/>
        <v>0</v>
      </c>
      <c r="D100" s="89" t="e">
        <f>FINAL!E19</f>
        <v>#DIV/0!</v>
      </c>
      <c r="E100" s="90" t="s">
        <v>61</v>
      </c>
      <c r="F100" s="92" t="e">
        <f t="shared" si="4"/>
        <v>#DIV/0!</v>
      </c>
    </row>
    <row r="101" spans="2:6" ht="15.75" hidden="1">
      <c r="B101" s="1">
        <f t="shared" si="5"/>
        <v>12</v>
      </c>
      <c r="C101" s="2">
        <f t="shared" si="5"/>
        <v>0</v>
      </c>
      <c r="D101" s="89" t="e">
        <f>FINAL!E20</f>
        <v>#DIV/0!</v>
      </c>
      <c r="E101" s="90" t="s">
        <v>61</v>
      </c>
      <c r="F101" s="92" t="e">
        <f t="shared" si="4"/>
        <v>#DIV/0!</v>
      </c>
    </row>
    <row r="102" spans="2:6" ht="15.75" hidden="1">
      <c r="B102" s="1">
        <f t="shared" si="5"/>
        <v>13</v>
      </c>
      <c r="C102" s="2">
        <f t="shared" si="5"/>
        <v>0</v>
      </c>
      <c r="D102" s="89" t="e">
        <f>FINAL!E21</f>
        <v>#DIV/0!</v>
      </c>
      <c r="E102" s="90" t="s">
        <v>61</v>
      </c>
      <c r="F102" s="92" t="e">
        <f t="shared" si="4"/>
        <v>#DIV/0!</v>
      </c>
    </row>
    <row r="103" spans="2:6" ht="15.75" hidden="1">
      <c r="B103" s="1">
        <f t="shared" si="5"/>
        <v>14</v>
      </c>
      <c r="C103" s="2">
        <f t="shared" si="5"/>
        <v>0</v>
      </c>
      <c r="D103" s="89" t="e">
        <f>FINAL!E22</f>
        <v>#DIV/0!</v>
      </c>
      <c r="E103" s="90" t="s">
        <v>61</v>
      </c>
      <c r="F103" s="92" t="e">
        <f t="shared" si="4"/>
        <v>#DIV/0!</v>
      </c>
    </row>
    <row r="104" spans="2:6" ht="15.75" hidden="1">
      <c r="B104" s="1">
        <f t="shared" si="5"/>
        <v>15</v>
      </c>
      <c r="C104" s="2">
        <f t="shared" si="5"/>
        <v>0</v>
      </c>
      <c r="D104" s="89" t="e">
        <f>FINAL!E23</f>
        <v>#DIV/0!</v>
      </c>
      <c r="E104" s="90" t="s">
        <v>61</v>
      </c>
      <c r="F104" s="92" t="e">
        <f t="shared" si="4"/>
        <v>#DIV/0!</v>
      </c>
    </row>
    <row r="105" spans="2:6" ht="15.75" hidden="1">
      <c r="B105" s="1">
        <f t="shared" si="5"/>
        <v>16</v>
      </c>
      <c r="C105" s="2">
        <f t="shared" si="5"/>
        <v>0</v>
      </c>
      <c r="D105" s="89" t="e">
        <f>FINAL!E24</f>
        <v>#DIV/0!</v>
      </c>
      <c r="E105" s="90" t="s">
        <v>61</v>
      </c>
      <c r="F105" s="92" t="e">
        <f t="shared" si="4"/>
        <v>#DIV/0!</v>
      </c>
    </row>
    <row r="106" spans="2:6" ht="15.75" hidden="1">
      <c r="B106" s="1">
        <f t="shared" si="5"/>
        <v>17</v>
      </c>
      <c r="C106" s="2">
        <f t="shared" si="5"/>
        <v>0</v>
      </c>
      <c r="D106" s="89" t="e">
        <f>FINAL!E25</f>
        <v>#DIV/0!</v>
      </c>
      <c r="E106" s="90" t="s">
        <v>61</v>
      </c>
      <c r="F106" s="92" t="e">
        <f t="shared" ref="F106:F137" si="6">IF(D106&lt;2.95,"BAJO",IF(D106&lt;4,"BASICO",IF(D106&lt;4.5,"ALTO","SUPERIOR")))</f>
        <v>#DIV/0!</v>
      </c>
    </row>
    <row r="107" spans="2:6" ht="15.75" hidden="1">
      <c r="B107" s="1">
        <f t="shared" si="5"/>
        <v>18</v>
      </c>
      <c r="C107" s="2">
        <f t="shared" si="5"/>
        <v>0</v>
      </c>
      <c r="D107" s="89" t="e">
        <f>FINAL!E26</f>
        <v>#DIV/0!</v>
      </c>
      <c r="E107" s="90" t="s">
        <v>61</v>
      </c>
      <c r="F107" s="92" t="e">
        <f t="shared" si="6"/>
        <v>#DIV/0!</v>
      </c>
    </row>
    <row r="108" spans="2:6" ht="15.75" hidden="1">
      <c r="B108" s="1">
        <f t="shared" si="5"/>
        <v>19</v>
      </c>
      <c r="C108" s="2">
        <f t="shared" si="5"/>
        <v>0</v>
      </c>
      <c r="D108" s="89" t="e">
        <f>FINAL!E27</f>
        <v>#DIV/0!</v>
      </c>
      <c r="E108" s="90" t="s">
        <v>61</v>
      </c>
      <c r="F108" s="92" t="e">
        <f t="shared" si="6"/>
        <v>#DIV/0!</v>
      </c>
    </row>
    <row r="109" spans="2:6" ht="15.75" hidden="1">
      <c r="B109" s="1">
        <f t="shared" si="5"/>
        <v>20</v>
      </c>
      <c r="C109" s="2">
        <f t="shared" si="5"/>
        <v>0</v>
      </c>
      <c r="D109" s="89" t="e">
        <f>FINAL!E28</f>
        <v>#DIV/0!</v>
      </c>
      <c r="E109" s="90" t="s">
        <v>61</v>
      </c>
      <c r="F109" s="92" t="e">
        <f t="shared" si="6"/>
        <v>#DIV/0!</v>
      </c>
    </row>
    <row r="110" spans="2:6" ht="15.75" hidden="1">
      <c r="B110" s="1">
        <f t="shared" ref="B110:C129" si="7">B30</f>
        <v>21</v>
      </c>
      <c r="C110" s="2">
        <f t="shared" si="7"/>
        <v>0</v>
      </c>
      <c r="D110" s="89" t="e">
        <f>FINAL!E29</f>
        <v>#DIV/0!</v>
      </c>
      <c r="E110" s="90" t="s">
        <v>61</v>
      </c>
      <c r="F110" s="92" t="e">
        <f t="shared" si="6"/>
        <v>#DIV/0!</v>
      </c>
    </row>
    <row r="111" spans="2:6" ht="15.75" hidden="1">
      <c r="B111" s="1">
        <f t="shared" si="7"/>
        <v>22</v>
      </c>
      <c r="C111" s="2">
        <f t="shared" si="7"/>
        <v>0</v>
      </c>
      <c r="D111" s="89" t="e">
        <f>FINAL!E30</f>
        <v>#DIV/0!</v>
      </c>
      <c r="E111" s="90" t="s">
        <v>61</v>
      </c>
      <c r="F111" s="92" t="e">
        <f t="shared" si="6"/>
        <v>#DIV/0!</v>
      </c>
    </row>
    <row r="112" spans="2:6" ht="15.75" hidden="1">
      <c r="B112" s="1">
        <f t="shared" si="7"/>
        <v>23</v>
      </c>
      <c r="C112" s="2">
        <f t="shared" si="7"/>
        <v>0</v>
      </c>
      <c r="D112" s="89" t="e">
        <f>FINAL!E31</f>
        <v>#DIV/0!</v>
      </c>
      <c r="E112" s="90" t="s">
        <v>61</v>
      </c>
      <c r="F112" s="92" t="e">
        <f t="shared" si="6"/>
        <v>#DIV/0!</v>
      </c>
    </row>
    <row r="113" spans="2:6" ht="15.75" hidden="1">
      <c r="B113" s="1">
        <f t="shared" si="7"/>
        <v>24</v>
      </c>
      <c r="C113" s="2">
        <f t="shared" si="7"/>
        <v>0</v>
      </c>
      <c r="D113" s="89" t="e">
        <f>FINAL!E32</f>
        <v>#DIV/0!</v>
      </c>
      <c r="E113" s="90" t="s">
        <v>61</v>
      </c>
      <c r="F113" s="92" t="e">
        <f t="shared" si="6"/>
        <v>#DIV/0!</v>
      </c>
    </row>
    <row r="114" spans="2:6" ht="15.75" hidden="1">
      <c r="B114" s="1">
        <f t="shared" si="7"/>
        <v>25</v>
      </c>
      <c r="C114" s="2">
        <f t="shared" si="7"/>
        <v>0</v>
      </c>
      <c r="D114" s="89" t="e">
        <f>FINAL!E33</f>
        <v>#DIV/0!</v>
      </c>
      <c r="E114" s="90" t="s">
        <v>61</v>
      </c>
      <c r="F114" s="92" t="e">
        <f t="shared" si="6"/>
        <v>#DIV/0!</v>
      </c>
    </row>
    <row r="115" spans="2:6" ht="15.75" hidden="1">
      <c r="B115" s="1">
        <f t="shared" si="7"/>
        <v>26</v>
      </c>
      <c r="C115" s="2">
        <f t="shared" si="7"/>
        <v>0</v>
      </c>
      <c r="D115" s="89" t="e">
        <f>FINAL!E34</f>
        <v>#DIV/0!</v>
      </c>
      <c r="E115" s="90" t="s">
        <v>61</v>
      </c>
      <c r="F115" s="92" t="e">
        <f t="shared" si="6"/>
        <v>#DIV/0!</v>
      </c>
    </row>
    <row r="116" spans="2:6" ht="15.75" hidden="1">
      <c r="B116" s="1">
        <f t="shared" si="7"/>
        <v>27</v>
      </c>
      <c r="C116" s="2">
        <f t="shared" si="7"/>
        <v>0</v>
      </c>
      <c r="D116" s="89" t="e">
        <f>FINAL!E35</f>
        <v>#DIV/0!</v>
      </c>
      <c r="E116" s="90" t="s">
        <v>61</v>
      </c>
      <c r="F116" s="92" t="e">
        <f t="shared" si="6"/>
        <v>#DIV/0!</v>
      </c>
    </row>
    <row r="117" spans="2:6" ht="15.75" hidden="1">
      <c r="B117" s="1">
        <f t="shared" si="7"/>
        <v>28</v>
      </c>
      <c r="C117" s="2">
        <f t="shared" si="7"/>
        <v>0</v>
      </c>
      <c r="D117" s="89" t="e">
        <f>FINAL!E36</f>
        <v>#DIV/0!</v>
      </c>
      <c r="E117" s="90" t="s">
        <v>61</v>
      </c>
      <c r="F117" s="92" t="e">
        <f t="shared" si="6"/>
        <v>#DIV/0!</v>
      </c>
    </row>
    <row r="118" spans="2:6" ht="15.75" hidden="1">
      <c r="B118" s="1">
        <f t="shared" si="7"/>
        <v>29</v>
      </c>
      <c r="C118" s="2">
        <f t="shared" si="7"/>
        <v>0</v>
      </c>
      <c r="D118" s="89" t="e">
        <f>FINAL!E37</f>
        <v>#DIV/0!</v>
      </c>
      <c r="E118" s="90" t="s">
        <v>61</v>
      </c>
      <c r="F118" s="92" t="e">
        <f t="shared" si="6"/>
        <v>#DIV/0!</v>
      </c>
    </row>
    <row r="119" spans="2:6" ht="15.75" hidden="1">
      <c r="B119" s="1">
        <f t="shared" si="7"/>
        <v>30</v>
      </c>
      <c r="C119" s="2">
        <f t="shared" si="7"/>
        <v>0</v>
      </c>
      <c r="D119" s="89" t="e">
        <f>FINAL!E38</f>
        <v>#DIV/0!</v>
      </c>
      <c r="E119" s="90" t="s">
        <v>61</v>
      </c>
      <c r="F119" s="92" t="e">
        <f t="shared" si="6"/>
        <v>#DIV/0!</v>
      </c>
    </row>
    <row r="120" spans="2:6" ht="15.75" hidden="1">
      <c r="B120" s="1">
        <f t="shared" si="7"/>
        <v>31</v>
      </c>
      <c r="C120" s="2">
        <f t="shared" si="7"/>
        <v>0</v>
      </c>
      <c r="D120" s="89" t="e">
        <f>FINAL!E39</f>
        <v>#DIV/0!</v>
      </c>
      <c r="E120" s="90" t="s">
        <v>61</v>
      </c>
      <c r="F120" s="92" t="e">
        <f t="shared" si="6"/>
        <v>#DIV/0!</v>
      </c>
    </row>
    <row r="121" spans="2:6" ht="15.75" hidden="1">
      <c r="B121" s="1">
        <f t="shared" si="7"/>
        <v>32</v>
      </c>
      <c r="C121" s="2">
        <f t="shared" si="7"/>
        <v>0</v>
      </c>
      <c r="D121" s="89" t="e">
        <f>FINAL!E40</f>
        <v>#DIV/0!</v>
      </c>
      <c r="E121" s="90" t="s">
        <v>61</v>
      </c>
      <c r="F121" s="92" t="e">
        <f t="shared" si="6"/>
        <v>#DIV/0!</v>
      </c>
    </row>
    <row r="122" spans="2:6" ht="15.75" hidden="1">
      <c r="B122" s="1">
        <f t="shared" si="7"/>
        <v>33</v>
      </c>
      <c r="C122" s="2">
        <f t="shared" si="7"/>
        <v>0</v>
      </c>
      <c r="D122" s="89" t="e">
        <f>FINAL!E41</f>
        <v>#DIV/0!</v>
      </c>
      <c r="E122" s="90" t="s">
        <v>61</v>
      </c>
      <c r="F122" s="92" t="e">
        <f t="shared" si="6"/>
        <v>#DIV/0!</v>
      </c>
    </row>
    <row r="123" spans="2:6" ht="15.75" hidden="1">
      <c r="B123" s="1">
        <f t="shared" si="7"/>
        <v>34</v>
      </c>
      <c r="C123" s="2">
        <f t="shared" si="7"/>
        <v>0</v>
      </c>
      <c r="D123" s="89" t="e">
        <f>FINAL!E42</f>
        <v>#DIV/0!</v>
      </c>
      <c r="E123" s="90" t="s">
        <v>61</v>
      </c>
      <c r="F123" s="92" t="e">
        <f t="shared" si="6"/>
        <v>#DIV/0!</v>
      </c>
    </row>
    <row r="124" spans="2:6" ht="15.75" hidden="1">
      <c r="B124" s="1">
        <f t="shared" si="7"/>
        <v>35</v>
      </c>
      <c r="C124" s="2">
        <f t="shared" si="7"/>
        <v>0</v>
      </c>
      <c r="D124" s="89" t="e">
        <f>FINAL!E43</f>
        <v>#DIV/0!</v>
      </c>
      <c r="E124" s="90" t="s">
        <v>61</v>
      </c>
      <c r="F124" s="92" t="e">
        <f t="shared" si="6"/>
        <v>#DIV/0!</v>
      </c>
    </row>
    <row r="125" spans="2:6" ht="15.75" hidden="1">
      <c r="B125" s="1">
        <f t="shared" si="7"/>
        <v>36</v>
      </c>
      <c r="C125" s="2">
        <f t="shared" si="7"/>
        <v>0</v>
      </c>
      <c r="D125" s="89" t="e">
        <f>FINAL!E44</f>
        <v>#DIV/0!</v>
      </c>
      <c r="E125" s="90" t="s">
        <v>61</v>
      </c>
      <c r="F125" s="92" t="e">
        <f t="shared" si="6"/>
        <v>#DIV/0!</v>
      </c>
    </row>
    <row r="126" spans="2:6" ht="15.75" hidden="1">
      <c r="B126" s="1">
        <f t="shared" si="7"/>
        <v>37</v>
      </c>
      <c r="C126" s="2">
        <f t="shared" si="7"/>
        <v>0</v>
      </c>
      <c r="D126" s="89" t="e">
        <f>FINAL!E45</f>
        <v>#DIV/0!</v>
      </c>
      <c r="E126" s="90" t="s">
        <v>61</v>
      </c>
      <c r="F126" s="92" t="e">
        <f t="shared" si="6"/>
        <v>#DIV/0!</v>
      </c>
    </row>
    <row r="127" spans="2:6" ht="15.75" hidden="1">
      <c r="B127" s="1">
        <f t="shared" si="7"/>
        <v>38</v>
      </c>
      <c r="C127" s="2">
        <f t="shared" si="7"/>
        <v>0</v>
      </c>
      <c r="D127" s="89" t="e">
        <f>FINAL!E46</f>
        <v>#DIV/0!</v>
      </c>
      <c r="E127" s="90" t="s">
        <v>61</v>
      </c>
      <c r="F127" s="92" t="e">
        <f t="shared" si="6"/>
        <v>#DIV/0!</v>
      </c>
    </row>
    <row r="128" spans="2:6" ht="15.75" hidden="1">
      <c r="B128" s="1">
        <f t="shared" si="7"/>
        <v>39</v>
      </c>
      <c r="C128" s="2">
        <f t="shared" si="7"/>
        <v>0</v>
      </c>
      <c r="D128" s="89" t="e">
        <f>FINAL!E47</f>
        <v>#DIV/0!</v>
      </c>
      <c r="E128" s="90" t="s">
        <v>61</v>
      </c>
      <c r="F128" s="92" t="e">
        <f t="shared" si="6"/>
        <v>#DIV/0!</v>
      </c>
    </row>
    <row r="129" spans="2:6" ht="15.75" hidden="1">
      <c r="B129" s="1">
        <f t="shared" si="7"/>
        <v>40</v>
      </c>
      <c r="C129" s="2">
        <f t="shared" si="7"/>
        <v>0</v>
      </c>
      <c r="D129" s="89" t="e">
        <f>FINAL!E48</f>
        <v>#DIV/0!</v>
      </c>
      <c r="E129" s="90" t="s">
        <v>61</v>
      </c>
      <c r="F129" s="92" t="e">
        <f t="shared" si="6"/>
        <v>#DIV/0!</v>
      </c>
    </row>
    <row r="130" spans="2:6" ht="15.75">
      <c r="B130" s="77">
        <f t="shared" ref="B130:C149" si="8">B10</f>
        <v>1</v>
      </c>
      <c r="C130" s="78">
        <f t="shared" si="8"/>
        <v>0</v>
      </c>
      <c r="D130" s="89" t="e">
        <f>FINAL!F9</f>
        <v>#DIV/0!</v>
      </c>
      <c r="E130" s="90" t="s">
        <v>62</v>
      </c>
      <c r="F130" s="92" t="e">
        <f t="shared" si="6"/>
        <v>#DIV/0!</v>
      </c>
    </row>
    <row r="131" spans="2:6" ht="15.75">
      <c r="B131" s="1">
        <f t="shared" si="8"/>
        <v>2</v>
      </c>
      <c r="C131" s="2">
        <f t="shared" si="8"/>
        <v>0</v>
      </c>
      <c r="D131" s="89" t="e">
        <f>FINAL!F10</f>
        <v>#DIV/0!</v>
      </c>
      <c r="E131" s="90" t="s">
        <v>62</v>
      </c>
      <c r="F131" s="92" t="e">
        <f t="shared" si="6"/>
        <v>#DIV/0!</v>
      </c>
    </row>
    <row r="132" spans="2:6" ht="15.75">
      <c r="B132" s="1">
        <f t="shared" si="8"/>
        <v>3</v>
      </c>
      <c r="C132" s="2">
        <f t="shared" si="8"/>
        <v>0</v>
      </c>
      <c r="D132" s="89" t="e">
        <f>FINAL!F11</f>
        <v>#DIV/0!</v>
      </c>
      <c r="E132" s="90" t="s">
        <v>62</v>
      </c>
      <c r="F132" s="92" t="e">
        <f t="shared" si="6"/>
        <v>#DIV/0!</v>
      </c>
    </row>
    <row r="133" spans="2:6" ht="15.75">
      <c r="B133" s="1">
        <f t="shared" si="8"/>
        <v>4</v>
      </c>
      <c r="C133" s="2">
        <f t="shared" si="8"/>
        <v>0</v>
      </c>
      <c r="D133" s="89" t="e">
        <f>FINAL!F12</f>
        <v>#DIV/0!</v>
      </c>
      <c r="E133" s="90" t="s">
        <v>62</v>
      </c>
      <c r="F133" s="92" t="e">
        <f t="shared" si="6"/>
        <v>#DIV/0!</v>
      </c>
    </row>
    <row r="134" spans="2:6" ht="15.75">
      <c r="B134" s="1">
        <f t="shared" si="8"/>
        <v>5</v>
      </c>
      <c r="C134" s="2">
        <f t="shared" si="8"/>
        <v>0</v>
      </c>
      <c r="D134" s="89" t="e">
        <f>FINAL!F13</f>
        <v>#DIV/0!</v>
      </c>
      <c r="E134" s="90" t="s">
        <v>62</v>
      </c>
      <c r="F134" s="92" t="e">
        <f t="shared" si="6"/>
        <v>#DIV/0!</v>
      </c>
    </row>
    <row r="135" spans="2:6" ht="15.75">
      <c r="B135" s="1">
        <f t="shared" si="8"/>
        <v>6</v>
      </c>
      <c r="C135" s="2">
        <f t="shared" si="8"/>
        <v>0</v>
      </c>
      <c r="D135" s="89" t="e">
        <f>FINAL!F14</f>
        <v>#DIV/0!</v>
      </c>
      <c r="E135" s="90" t="s">
        <v>62</v>
      </c>
      <c r="F135" s="92" t="e">
        <f t="shared" si="6"/>
        <v>#DIV/0!</v>
      </c>
    </row>
    <row r="136" spans="2:6" ht="15.75">
      <c r="B136" s="1">
        <f t="shared" si="8"/>
        <v>7</v>
      </c>
      <c r="C136" s="2">
        <f t="shared" si="8"/>
        <v>0</v>
      </c>
      <c r="D136" s="89" t="e">
        <f>FINAL!F15</f>
        <v>#DIV/0!</v>
      </c>
      <c r="E136" s="90" t="s">
        <v>62</v>
      </c>
      <c r="F136" s="92" t="e">
        <f t="shared" si="6"/>
        <v>#DIV/0!</v>
      </c>
    </row>
    <row r="137" spans="2:6" ht="15.75">
      <c r="B137" s="1">
        <f t="shared" si="8"/>
        <v>8</v>
      </c>
      <c r="C137" s="2">
        <f t="shared" si="8"/>
        <v>0</v>
      </c>
      <c r="D137" s="89" t="e">
        <f>FINAL!F16</f>
        <v>#DIV/0!</v>
      </c>
      <c r="E137" s="90" t="s">
        <v>62</v>
      </c>
      <c r="F137" s="92" t="e">
        <f t="shared" si="6"/>
        <v>#DIV/0!</v>
      </c>
    </row>
    <row r="138" spans="2:6" ht="15.75">
      <c r="B138" s="1">
        <f t="shared" si="8"/>
        <v>9</v>
      </c>
      <c r="C138" s="2">
        <f t="shared" si="8"/>
        <v>0</v>
      </c>
      <c r="D138" s="89" t="e">
        <f>FINAL!F17</f>
        <v>#DIV/0!</v>
      </c>
      <c r="E138" s="90" t="s">
        <v>62</v>
      </c>
      <c r="F138" s="92" t="e">
        <f t="shared" ref="F138:F169" si="9">IF(D138&lt;2.95,"BAJO",IF(D138&lt;4,"BASICO",IF(D138&lt;4.5,"ALTO","SUPERIOR")))</f>
        <v>#DIV/0!</v>
      </c>
    </row>
    <row r="139" spans="2:6" ht="15.75">
      <c r="B139" s="1">
        <f t="shared" si="8"/>
        <v>10</v>
      </c>
      <c r="C139" s="2">
        <f t="shared" si="8"/>
        <v>0</v>
      </c>
      <c r="D139" s="89" t="e">
        <f>FINAL!F18</f>
        <v>#DIV/0!</v>
      </c>
      <c r="E139" s="90" t="s">
        <v>62</v>
      </c>
      <c r="F139" s="92" t="e">
        <f t="shared" si="9"/>
        <v>#DIV/0!</v>
      </c>
    </row>
    <row r="140" spans="2:6" ht="15.75">
      <c r="B140" s="1">
        <f t="shared" si="8"/>
        <v>11</v>
      </c>
      <c r="C140" s="2">
        <f t="shared" si="8"/>
        <v>0</v>
      </c>
      <c r="D140" s="89" t="e">
        <f>FINAL!F19</f>
        <v>#DIV/0!</v>
      </c>
      <c r="E140" s="90" t="s">
        <v>62</v>
      </c>
      <c r="F140" s="92" t="e">
        <f t="shared" si="9"/>
        <v>#DIV/0!</v>
      </c>
    </row>
    <row r="141" spans="2:6" ht="15.75">
      <c r="B141" s="1">
        <f t="shared" si="8"/>
        <v>12</v>
      </c>
      <c r="C141" s="2">
        <f t="shared" si="8"/>
        <v>0</v>
      </c>
      <c r="D141" s="89" t="e">
        <f>FINAL!F20</f>
        <v>#DIV/0!</v>
      </c>
      <c r="E141" s="90" t="s">
        <v>62</v>
      </c>
      <c r="F141" s="92" t="e">
        <f t="shared" si="9"/>
        <v>#DIV/0!</v>
      </c>
    </row>
    <row r="142" spans="2:6" ht="15.75">
      <c r="B142" s="1">
        <f t="shared" si="8"/>
        <v>13</v>
      </c>
      <c r="C142" s="2">
        <f t="shared" si="8"/>
        <v>0</v>
      </c>
      <c r="D142" s="89" t="e">
        <f>FINAL!F21</f>
        <v>#DIV/0!</v>
      </c>
      <c r="E142" s="90" t="s">
        <v>62</v>
      </c>
      <c r="F142" s="92" t="e">
        <f t="shared" si="9"/>
        <v>#DIV/0!</v>
      </c>
    </row>
    <row r="143" spans="2:6" ht="15.75">
      <c r="B143" s="1">
        <f t="shared" si="8"/>
        <v>14</v>
      </c>
      <c r="C143" s="2">
        <f t="shared" si="8"/>
        <v>0</v>
      </c>
      <c r="D143" s="89" t="e">
        <f>FINAL!F22</f>
        <v>#DIV/0!</v>
      </c>
      <c r="E143" s="90" t="s">
        <v>62</v>
      </c>
      <c r="F143" s="92" t="e">
        <f t="shared" si="9"/>
        <v>#DIV/0!</v>
      </c>
    </row>
    <row r="144" spans="2:6" ht="15.75">
      <c r="B144" s="1">
        <f t="shared" si="8"/>
        <v>15</v>
      </c>
      <c r="C144" s="2">
        <f t="shared" si="8"/>
        <v>0</v>
      </c>
      <c r="D144" s="89" t="e">
        <f>FINAL!F23</f>
        <v>#DIV/0!</v>
      </c>
      <c r="E144" s="90" t="s">
        <v>62</v>
      </c>
      <c r="F144" s="92" t="e">
        <f t="shared" si="9"/>
        <v>#DIV/0!</v>
      </c>
    </row>
    <row r="145" spans="2:6" ht="15.75">
      <c r="B145" s="1">
        <f t="shared" si="8"/>
        <v>16</v>
      </c>
      <c r="C145" s="2">
        <f t="shared" si="8"/>
        <v>0</v>
      </c>
      <c r="D145" s="89" t="e">
        <f>FINAL!F24</f>
        <v>#DIV/0!</v>
      </c>
      <c r="E145" s="90" t="s">
        <v>62</v>
      </c>
      <c r="F145" s="92" t="e">
        <f t="shared" si="9"/>
        <v>#DIV/0!</v>
      </c>
    </row>
    <row r="146" spans="2:6" ht="15.75">
      <c r="B146" s="1">
        <f t="shared" si="8"/>
        <v>17</v>
      </c>
      <c r="C146" s="2">
        <f t="shared" si="8"/>
        <v>0</v>
      </c>
      <c r="D146" s="89" t="e">
        <f>FINAL!F25</f>
        <v>#DIV/0!</v>
      </c>
      <c r="E146" s="90" t="s">
        <v>62</v>
      </c>
      <c r="F146" s="92" t="e">
        <f t="shared" si="9"/>
        <v>#DIV/0!</v>
      </c>
    </row>
    <row r="147" spans="2:6" ht="15.75">
      <c r="B147" s="1">
        <f t="shared" si="8"/>
        <v>18</v>
      </c>
      <c r="C147" s="2">
        <f t="shared" si="8"/>
        <v>0</v>
      </c>
      <c r="D147" s="89" t="e">
        <f>FINAL!F26</f>
        <v>#DIV/0!</v>
      </c>
      <c r="E147" s="90" t="s">
        <v>62</v>
      </c>
      <c r="F147" s="92" t="e">
        <f t="shared" si="9"/>
        <v>#DIV/0!</v>
      </c>
    </row>
    <row r="148" spans="2:6" ht="15.75">
      <c r="B148" s="1">
        <f t="shared" si="8"/>
        <v>19</v>
      </c>
      <c r="C148" s="2">
        <f t="shared" si="8"/>
        <v>0</v>
      </c>
      <c r="D148" s="89" t="e">
        <f>FINAL!F27</f>
        <v>#DIV/0!</v>
      </c>
      <c r="E148" s="90" t="s">
        <v>62</v>
      </c>
      <c r="F148" s="92" t="e">
        <f t="shared" si="9"/>
        <v>#DIV/0!</v>
      </c>
    </row>
    <row r="149" spans="2:6" ht="15.75">
      <c r="B149" s="1">
        <f t="shared" si="8"/>
        <v>20</v>
      </c>
      <c r="C149" s="2">
        <f t="shared" si="8"/>
        <v>0</v>
      </c>
      <c r="D149" s="89" t="e">
        <f>FINAL!F28</f>
        <v>#DIV/0!</v>
      </c>
      <c r="E149" s="90" t="s">
        <v>62</v>
      </c>
      <c r="F149" s="92" t="e">
        <f t="shared" si="9"/>
        <v>#DIV/0!</v>
      </c>
    </row>
    <row r="150" spans="2:6" ht="15.75">
      <c r="B150" s="1">
        <f t="shared" ref="B150:C169" si="10">B30</f>
        <v>21</v>
      </c>
      <c r="C150" s="2">
        <f t="shared" si="10"/>
        <v>0</v>
      </c>
      <c r="D150" s="89" t="e">
        <f>FINAL!F29</f>
        <v>#DIV/0!</v>
      </c>
      <c r="E150" s="90" t="s">
        <v>62</v>
      </c>
      <c r="F150" s="92" t="e">
        <f t="shared" si="9"/>
        <v>#DIV/0!</v>
      </c>
    </row>
    <row r="151" spans="2:6" ht="15.75">
      <c r="B151" s="1">
        <f t="shared" si="10"/>
        <v>22</v>
      </c>
      <c r="C151" s="2">
        <f t="shared" si="10"/>
        <v>0</v>
      </c>
      <c r="D151" s="89" t="e">
        <f>FINAL!F30</f>
        <v>#DIV/0!</v>
      </c>
      <c r="E151" s="90" t="s">
        <v>62</v>
      </c>
      <c r="F151" s="92" t="e">
        <f t="shared" si="9"/>
        <v>#DIV/0!</v>
      </c>
    </row>
    <row r="152" spans="2:6" ht="15.75">
      <c r="B152" s="1">
        <f t="shared" si="10"/>
        <v>23</v>
      </c>
      <c r="C152" s="2">
        <f t="shared" si="10"/>
        <v>0</v>
      </c>
      <c r="D152" s="89" t="e">
        <f>FINAL!F31</f>
        <v>#DIV/0!</v>
      </c>
      <c r="E152" s="90" t="s">
        <v>62</v>
      </c>
      <c r="F152" s="92" t="e">
        <f t="shared" si="9"/>
        <v>#DIV/0!</v>
      </c>
    </row>
    <row r="153" spans="2:6" ht="15.75">
      <c r="B153" s="1">
        <f t="shared" si="10"/>
        <v>24</v>
      </c>
      <c r="C153" s="2">
        <f t="shared" si="10"/>
        <v>0</v>
      </c>
      <c r="D153" s="89" t="e">
        <f>FINAL!F32</f>
        <v>#DIV/0!</v>
      </c>
      <c r="E153" s="90" t="s">
        <v>62</v>
      </c>
      <c r="F153" s="92" t="e">
        <f t="shared" si="9"/>
        <v>#DIV/0!</v>
      </c>
    </row>
    <row r="154" spans="2:6" ht="15.75">
      <c r="B154" s="1">
        <f t="shared" si="10"/>
        <v>25</v>
      </c>
      <c r="C154" s="2">
        <f t="shared" si="10"/>
        <v>0</v>
      </c>
      <c r="D154" s="89" t="e">
        <f>FINAL!F33</f>
        <v>#DIV/0!</v>
      </c>
      <c r="E154" s="90" t="s">
        <v>62</v>
      </c>
      <c r="F154" s="92" t="e">
        <f t="shared" si="9"/>
        <v>#DIV/0!</v>
      </c>
    </row>
    <row r="155" spans="2:6" ht="15.75">
      <c r="B155" s="1">
        <f t="shared" si="10"/>
        <v>26</v>
      </c>
      <c r="C155" s="2">
        <f t="shared" si="10"/>
        <v>0</v>
      </c>
      <c r="D155" s="89" t="e">
        <f>FINAL!F34</f>
        <v>#DIV/0!</v>
      </c>
      <c r="E155" s="90" t="s">
        <v>62</v>
      </c>
      <c r="F155" s="92" t="e">
        <f t="shared" si="9"/>
        <v>#DIV/0!</v>
      </c>
    </row>
    <row r="156" spans="2:6" ht="15.75">
      <c r="B156" s="1">
        <f t="shared" si="10"/>
        <v>27</v>
      </c>
      <c r="C156" s="2">
        <f t="shared" si="10"/>
        <v>0</v>
      </c>
      <c r="D156" s="89" t="e">
        <f>FINAL!F35</f>
        <v>#DIV/0!</v>
      </c>
      <c r="E156" s="90" t="s">
        <v>62</v>
      </c>
      <c r="F156" s="92" t="e">
        <f t="shared" si="9"/>
        <v>#DIV/0!</v>
      </c>
    </row>
    <row r="157" spans="2:6" ht="15.75">
      <c r="B157" s="1">
        <f t="shared" si="10"/>
        <v>28</v>
      </c>
      <c r="C157" s="2">
        <f t="shared" si="10"/>
        <v>0</v>
      </c>
      <c r="D157" s="89" t="e">
        <f>FINAL!F36</f>
        <v>#DIV/0!</v>
      </c>
      <c r="E157" s="90" t="s">
        <v>62</v>
      </c>
      <c r="F157" s="92" t="e">
        <f t="shared" si="9"/>
        <v>#DIV/0!</v>
      </c>
    </row>
    <row r="158" spans="2:6" ht="15.75">
      <c r="B158" s="1">
        <f t="shared" si="10"/>
        <v>29</v>
      </c>
      <c r="C158" s="2">
        <f t="shared" si="10"/>
        <v>0</v>
      </c>
      <c r="D158" s="89" t="e">
        <f>FINAL!F37</f>
        <v>#DIV/0!</v>
      </c>
      <c r="E158" s="90" t="s">
        <v>62</v>
      </c>
      <c r="F158" s="92" t="e">
        <f t="shared" si="9"/>
        <v>#DIV/0!</v>
      </c>
    </row>
    <row r="159" spans="2:6" ht="15.75">
      <c r="B159" s="1">
        <f t="shared" si="10"/>
        <v>30</v>
      </c>
      <c r="C159" s="2">
        <f t="shared" si="10"/>
        <v>0</v>
      </c>
      <c r="D159" s="89" t="e">
        <f>FINAL!F38</f>
        <v>#DIV/0!</v>
      </c>
      <c r="E159" s="90" t="s">
        <v>62</v>
      </c>
      <c r="F159" s="92" t="e">
        <f t="shared" si="9"/>
        <v>#DIV/0!</v>
      </c>
    </row>
    <row r="160" spans="2:6" ht="15.75">
      <c r="B160" s="1">
        <f t="shared" si="10"/>
        <v>31</v>
      </c>
      <c r="C160" s="2">
        <f t="shared" si="10"/>
        <v>0</v>
      </c>
      <c r="D160" s="89" t="e">
        <f>FINAL!F39</f>
        <v>#DIV/0!</v>
      </c>
      <c r="E160" s="90" t="s">
        <v>62</v>
      </c>
      <c r="F160" s="92" t="e">
        <f t="shared" si="9"/>
        <v>#DIV/0!</v>
      </c>
    </row>
    <row r="161" spans="2:6" ht="15.75">
      <c r="B161" s="1">
        <f t="shared" si="10"/>
        <v>32</v>
      </c>
      <c r="C161" s="2">
        <f t="shared" si="10"/>
        <v>0</v>
      </c>
      <c r="D161" s="89" t="e">
        <f>FINAL!F40</f>
        <v>#DIV/0!</v>
      </c>
      <c r="E161" s="90" t="s">
        <v>62</v>
      </c>
      <c r="F161" s="92" t="e">
        <f t="shared" si="9"/>
        <v>#DIV/0!</v>
      </c>
    </row>
    <row r="162" spans="2:6" ht="15.75">
      <c r="B162" s="1">
        <f t="shared" si="10"/>
        <v>33</v>
      </c>
      <c r="C162" s="2">
        <f t="shared" si="10"/>
        <v>0</v>
      </c>
      <c r="D162" s="89" t="e">
        <f>FINAL!F41</f>
        <v>#DIV/0!</v>
      </c>
      <c r="E162" s="90" t="s">
        <v>62</v>
      </c>
      <c r="F162" s="92" t="e">
        <f t="shared" si="9"/>
        <v>#DIV/0!</v>
      </c>
    </row>
    <row r="163" spans="2:6" ht="15.75">
      <c r="B163" s="1">
        <f t="shared" si="10"/>
        <v>34</v>
      </c>
      <c r="C163" s="2">
        <f t="shared" si="10"/>
        <v>0</v>
      </c>
      <c r="D163" s="89" t="e">
        <f>FINAL!F42</f>
        <v>#DIV/0!</v>
      </c>
      <c r="E163" s="90" t="s">
        <v>62</v>
      </c>
      <c r="F163" s="92" t="e">
        <f t="shared" si="9"/>
        <v>#DIV/0!</v>
      </c>
    </row>
    <row r="164" spans="2:6" ht="15.75">
      <c r="B164" s="1">
        <f t="shared" si="10"/>
        <v>35</v>
      </c>
      <c r="C164" s="2">
        <f t="shared" si="10"/>
        <v>0</v>
      </c>
      <c r="D164" s="89" t="e">
        <f>FINAL!F43</f>
        <v>#DIV/0!</v>
      </c>
      <c r="E164" s="90" t="s">
        <v>62</v>
      </c>
      <c r="F164" s="92" t="e">
        <f t="shared" si="9"/>
        <v>#DIV/0!</v>
      </c>
    </row>
    <row r="165" spans="2:6" ht="15.75">
      <c r="B165" s="1">
        <f t="shared" si="10"/>
        <v>36</v>
      </c>
      <c r="C165" s="2">
        <f t="shared" si="10"/>
        <v>0</v>
      </c>
      <c r="D165" s="89" t="e">
        <f>FINAL!F44</f>
        <v>#DIV/0!</v>
      </c>
      <c r="E165" s="90" t="s">
        <v>62</v>
      </c>
      <c r="F165" s="92" t="e">
        <f t="shared" si="9"/>
        <v>#DIV/0!</v>
      </c>
    </row>
    <row r="166" spans="2:6" ht="15.75">
      <c r="B166" s="1">
        <f t="shared" si="10"/>
        <v>37</v>
      </c>
      <c r="C166" s="2">
        <f t="shared" si="10"/>
        <v>0</v>
      </c>
      <c r="D166" s="89" t="e">
        <f>FINAL!F45</f>
        <v>#DIV/0!</v>
      </c>
      <c r="E166" s="90" t="s">
        <v>62</v>
      </c>
      <c r="F166" s="92" t="e">
        <f t="shared" si="9"/>
        <v>#DIV/0!</v>
      </c>
    </row>
    <row r="167" spans="2:6" ht="15.75">
      <c r="B167" s="1">
        <f t="shared" si="10"/>
        <v>38</v>
      </c>
      <c r="C167" s="2">
        <f t="shared" si="10"/>
        <v>0</v>
      </c>
      <c r="D167" s="89" t="e">
        <f>FINAL!F46</f>
        <v>#DIV/0!</v>
      </c>
      <c r="E167" s="90" t="s">
        <v>62</v>
      </c>
      <c r="F167" s="92" t="e">
        <f t="shared" si="9"/>
        <v>#DIV/0!</v>
      </c>
    </row>
    <row r="168" spans="2:6" ht="15.75">
      <c r="B168" s="1">
        <f t="shared" si="10"/>
        <v>39</v>
      </c>
      <c r="C168" s="2">
        <f t="shared" si="10"/>
        <v>0</v>
      </c>
      <c r="D168" s="89" t="e">
        <f>FINAL!F47</f>
        <v>#DIV/0!</v>
      </c>
      <c r="E168" s="90" t="s">
        <v>62</v>
      </c>
      <c r="F168" s="92" t="e">
        <f t="shared" si="9"/>
        <v>#DIV/0!</v>
      </c>
    </row>
    <row r="169" spans="2:6" ht="15.75">
      <c r="B169" s="1">
        <f t="shared" si="10"/>
        <v>40</v>
      </c>
      <c r="C169" s="2">
        <f t="shared" si="10"/>
        <v>0</v>
      </c>
      <c r="D169" s="89" t="e">
        <f>FINAL!F48</f>
        <v>#DIV/0!</v>
      </c>
      <c r="E169" s="90" t="s">
        <v>62</v>
      </c>
      <c r="F169" s="92" t="e">
        <f t="shared" si="9"/>
        <v>#DIV/0!</v>
      </c>
    </row>
  </sheetData>
  <sheetProtection algorithmName="SHA-512" hashValue="SlcJpE2/mHsYy9GQ5FKVySbX8K/Yr9cfoP6rzesYkqmCS7jJMrgith0Sr2PCxOY1vnXKBC58d0cXdCXQETcNGA==" saltValue="K9Si9mB20cAhvGX1NcdvZA==" spinCount="100000" sheet="1" scenarios="1" autoFilter="0" pivotTables="0"/>
  <phoneticPr fontId="11" type="noConversion"/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INICIO</vt:lpstr>
      <vt:lpstr>PERIODO 01</vt:lpstr>
      <vt:lpstr>PERIODO 02</vt:lpstr>
      <vt:lpstr>PERIODO 03</vt:lpstr>
      <vt:lpstr>FINAL</vt:lpstr>
      <vt:lpstr>ESTADISTICA</vt:lpstr>
      <vt:lpstr>INFORMES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GARCIA</dc:creator>
  <cp:lastModifiedBy>CESAR GARCIA CARREAZO</cp:lastModifiedBy>
  <cp:lastPrinted>2026-02-08T15:56:56Z</cp:lastPrinted>
  <dcterms:created xsi:type="dcterms:W3CDTF">2006-09-12T12:46:56Z</dcterms:created>
  <dcterms:modified xsi:type="dcterms:W3CDTF">2026-04-07T15:22:14Z</dcterms:modified>
</cp:coreProperties>
</file>